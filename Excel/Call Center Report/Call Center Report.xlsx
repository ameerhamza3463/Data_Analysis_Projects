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hidePivotFieldList="1"/>
  <mc:AlternateContent xmlns:mc="http://schemas.openxmlformats.org/markup-compatibility/2006">
    <mc:Choice Requires="x15">
      <x15ac:absPath xmlns:x15ac="http://schemas.microsoft.com/office/spreadsheetml/2010/11/ac" url="E:\UNI_WORK\Data Analyst\Projects\Data_Analysis_Projects\Excel\Portfolio Projects\"/>
    </mc:Choice>
  </mc:AlternateContent>
  <xr:revisionPtr revIDLastSave="0" documentId="13_ncr:1_{822D67A5-6A51-480E-AE7E-7F516267F988}" xr6:coauthVersionLast="47" xr6:coauthVersionMax="47" xr10:uidLastSave="{00000000-0000-0000-0000-000000000000}"/>
  <bookViews>
    <workbookView xWindow="-120" yWindow="-120" windowWidth="20730" windowHeight="11760" activeTab="3" xr2:uid="{26D4546B-D2A1-4444-8EAF-A6228F96F0C1}"/>
  </bookViews>
  <sheets>
    <sheet name="Pivots" sheetId="6" r:id="rId1"/>
    <sheet name="Data" sheetId="2" r:id="rId2"/>
    <sheet name="Assets" sheetId="4" r:id="rId3"/>
    <sheet name="Customer Report" sheetId="5"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216" r:id="rId5"/>
    <pivotCache cacheId="218" r:id="rId6"/>
    <pivotCache cacheId="219" r:id="rId7"/>
    <pivotCache cacheId="234" r:id="rId8"/>
    <pivotCache cacheId="372" r:id="rId9"/>
    <pivotCache cacheId="375" r:id="rId10"/>
    <pivotCache cacheId="378" r:id="rId11"/>
    <pivotCache cacheId="381" r:id="rId12"/>
    <pivotCache cacheId="384"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Q18" i="5" l="1"/>
  <c r="R18" i="5"/>
  <c r="S18" i="5"/>
  <c r="T18" i="5"/>
  <c r="U18" i="5"/>
  <c r="P19" i="5"/>
  <c r="Q19" i="5"/>
  <c r="R19" i="5"/>
  <c r="S19" i="5"/>
  <c r="T19" i="5"/>
  <c r="U19" i="5"/>
  <c r="V19" i="5"/>
  <c r="P20" i="5"/>
  <c r="Q20" i="5"/>
  <c r="R20" i="5"/>
  <c r="S20" i="5"/>
  <c r="T20" i="5"/>
  <c r="U20" i="5"/>
  <c r="V20" i="5"/>
  <c r="P21" i="5"/>
  <c r="Q21" i="5"/>
  <c r="R21" i="5"/>
  <c r="S21" i="5"/>
  <c r="T21" i="5"/>
  <c r="U21" i="5"/>
  <c r="V21" i="5"/>
  <c r="P22" i="5"/>
  <c r="Q22" i="5"/>
  <c r="R22" i="5"/>
  <c r="S22" i="5"/>
  <c r="T22" i="5"/>
  <c r="U22" i="5"/>
  <c r="V22" i="5"/>
  <c r="P23" i="5"/>
  <c r="Q23" i="5"/>
  <c r="R23" i="5"/>
  <c r="S23" i="5"/>
  <c r="T23" i="5"/>
  <c r="U23" i="5"/>
  <c r="V23" i="5"/>
  <c r="P24" i="5"/>
  <c r="Q24" i="5"/>
  <c r="R24" i="5"/>
  <c r="S24" i="5"/>
  <c r="T24" i="5"/>
  <c r="U24" i="5"/>
  <c r="V24" i="5"/>
  <c r="P25" i="5"/>
  <c r="Q25" i="5"/>
  <c r="R25" i="5"/>
  <c r="S25" i="5"/>
  <c r="T25" i="5"/>
  <c r="U25" i="5"/>
  <c r="V25" i="5"/>
  <c r="P26" i="5"/>
  <c r="Q26" i="5"/>
  <c r="R26" i="5"/>
  <c r="S26" i="5"/>
  <c r="T26" i="5"/>
  <c r="U26" i="5"/>
  <c r="V26" i="5"/>
  <c r="P27" i="5"/>
  <c r="Q27" i="5"/>
  <c r="R27" i="5"/>
  <c r="S27" i="5"/>
  <c r="T27" i="5"/>
  <c r="U27" i="5"/>
  <c r="V27" i="5"/>
  <c r="P28" i="5"/>
  <c r="Q28" i="5"/>
  <c r="R28" i="5"/>
  <c r="S28" i="5"/>
  <c r="T28" i="5"/>
  <c r="U28" i="5"/>
  <c r="V28" i="5"/>
  <c r="P29" i="5"/>
  <c r="Q29" i="5"/>
  <c r="R29" i="5"/>
  <c r="S29" i="5"/>
  <c r="T29" i="5"/>
  <c r="U29" i="5"/>
  <c r="V29" i="5"/>
  <c r="P30" i="5"/>
  <c r="Q30" i="5"/>
  <c r="R30" i="5"/>
  <c r="S30" i="5"/>
  <c r="T30" i="5"/>
  <c r="U30" i="5"/>
  <c r="V30" i="5"/>
  <c r="P31" i="5"/>
  <c r="Q31" i="5"/>
  <c r="R31" i="5"/>
  <c r="S31" i="5"/>
  <c r="T31" i="5"/>
  <c r="U31" i="5"/>
  <c r="V31" i="5"/>
  <c r="P32" i="5"/>
  <c r="Q32" i="5"/>
  <c r="R32" i="5"/>
  <c r="S32" i="5"/>
  <c r="T32" i="5"/>
  <c r="U32" i="5"/>
  <c r="V32" i="5"/>
  <c r="P33" i="5"/>
  <c r="Q33" i="5"/>
  <c r="R33" i="5"/>
  <c r="S33" i="5"/>
  <c r="T33" i="5"/>
  <c r="U33" i="5"/>
  <c r="V33" i="5"/>
  <c r="P34" i="5"/>
  <c r="Q34" i="5"/>
  <c r="R34" i="5"/>
  <c r="S34" i="5"/>
  <c r="T34" i="5"/>
  <c r="U34" i="5"/>
  <c r="V34" i="5"/>
  <c r="P35" i="5"/>
  <c r="Q35" i="5"/>
  <c r="R35" i="5"/>
  <c r="S35" i="5"/>
  <c r="T35" i="5"/>
  <c r="U35" i="5"/>
  <c r="V35" i="5"/>
  <c r="P36" i="5"/>
  <c r="Q36" i="5"/>
  <c r="R36" i="5"/>
  <c r="S36" i="5"/>
  <c r="T36" i="5"/>
  <c r="U36" i="5"/>
  <c r="V36" i="5"/>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H45" i="6"/>
  <c r="G45" i="6"/>
  <c r="F45" i="6"/>
  <c r="H44" i="6"/>
  <c r="G44" i="6"/>
  <c r="F44" i="6"/>
  <c r="H43" i="6"/>
  <c r="G43" i="6"/>
  <c r="F43" i="6"/>
  <c r="H42" i="6"/>
  <c r="G42" i="6"/>
  <c r="F42" i="6"/>
  <c r="H41" i="6"/>
  <c r="G41" i="6"/>
  <c r="F41" i="6"/>
  <c r="J38" i="6"/>
  <c r="J45" i="6" s="1"/>
  <c r="I43" i="6" l="1"/>
  <c r="I41" i="6"/>
  <c r="J44" i="6"/>
  <c r="J41" i="6"/>
  <c r="I42" i="6"/>
  <c r="J42" i="6"/>
  <c r="J43" i="6"/>
  <c r="I44" i="6"/>
  <c r="I4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074987-E1B7-4B26-8514-5488388170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4694200-4584-44E2-B7FF-250962E0E87E}"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0E09E1B5-8356-457C-AAF4-6E5EF6A89C9F}"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sharedStrings.xml><?xml version="1.0" encoding="utf-8"?>
<sst xmlns="http://schemas.openxmlformats.org/spreadsheetml/2006/main" count="3164" uniqueCount="1080">
  <si>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</si>
  <si>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</si>
  <si>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</si>
  <si>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</si>
  <si>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</si>
  <si>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</si>
  <si>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</si>
  <si>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</si>
  <si>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</si>
  <si>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</si>
  <si>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</si>
  <si>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</si>
  <si>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</si>
  <si>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</si>
  <si>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</si>
  <si>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</si>
  <si>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</si>
  <si>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</si>
  <si>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</si>
  <si>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</si>
  <si>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</si>
  <si>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</si>
  <si>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</si>
  <si>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</si>
  <si>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</si>
  <si>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</si>
  <si>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</si>
  <si>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</si>
  <si>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</si>
  <si>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</si>
  <si>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</si>
  <si>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</si>
  <si>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</si>
  <si>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</si>
  <si>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</si>
  <si>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</si>
  <si>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</si>
  <si>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</si>
  <si>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</si>
  <si>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</si>
  <si>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</si>
  <si>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</si>
  <si>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</si>
  <si>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</si>
  <si>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</si>
  <si>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</si>
  <si>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</si>
  <si>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</si>
  <si>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</si>
  <si>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</si>
  <si>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</si>
  <si>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</si>
  <si>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</si>
  <si>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</si>
  <si>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</si>
  <si>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</si>
  <si>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</si>
  <si>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</si>
  <si>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</si>
  <si>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</si>
  <si>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</si>
  <si>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</si>
  <si>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</si>
  <si>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</si>
  <si>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</si>
  <si>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</si>
  <si>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</si>
  <si>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</si>
  <si>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</si>
  <si>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</si>
  <si>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</si>
  <si>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</si>
  <si>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</si>
  <si>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</si>
  <si>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</si>
  <si>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</si>
  <si>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</si>
  <si>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</si>
  <si>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</si>
  <si>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</si>
  <si>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</si>
  <si>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</si>
  <si>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</si>
  <si>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</si>
  <si>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</si>
  <si>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</si>
  <si>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</si>
  <si>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</si>
  <si>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</si>
  <si>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</si>
  <si>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</si>
  <si>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</si>
  <si>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</si>
  <si>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</si>
  <si>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</si>
  <si>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</si>
  <si>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</si>
  <si>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</si>
  <si>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</si>
  <si>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</si>
  <si>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</si>
  <si>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</si>
  <si>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</si>
  <si>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</si>
  <si>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</si>
  <si>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</si>
  <si>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</si>
  <si>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</si>
  <si>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</si>
  <si>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</si>
  <si>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</si>
  <si>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</si>
  <si>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</si>
  <si>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</si>
  <si>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</si>
  <si>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</si>
  <si>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</si>
  <si>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</si>
  <si>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</si>
  <si>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</si>
  <si>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</si>
  <si>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</si>
  <si>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</si>
  <si>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</si>
  <si>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</si>
  <si>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</si>
  <si>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</si>
  <si>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</si>
  <si>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</si>
  <si>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</si>
  <si>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</si>
  <si>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</si>
  <si>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</si>
  <si>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</si>
  <si>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</si>
  <si>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</si>
  <si>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</si>
  <si>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</si>
  <si>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</si>
  <si>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</si>
  <si>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</si>
  <si>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</si>
  <si>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</si>
  <si>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</si>
  <si>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</si>
  <si>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</si>
  <si>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</si>
  <si>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</si>
  <si>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</si>
  <si>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</si>
  <si>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</si>
  <si>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</si>
  <si>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</si>
  <si>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</si>
  <si>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</si>
  <si>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</si>
  <si>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</si>
  <si>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</si>
  <si>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</si>
  <si>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</si>
  <si>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</si>
  <si>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</si>
  <si>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</si>
  <si>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</si>
  <si>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</si>
  <si>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</si>
  <si>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</si>
  <si>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</si>
  <si>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</si>
  <si>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</si>
  <si>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</si>
  <si>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</si>
  <si>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</si>
  <si>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</si>
  <si>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</si>
  <si>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</si>
  <si>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</si>
  <si>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</si>
  <si>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</si>
  <si>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</si>
  <si>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</si>
  <si>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</si>
  <si>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</si>
  <si>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</si>
  <si>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</si>
  <si>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</si>
  <si>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</si>
  <si>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</si>
  <si>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</si>
  <si>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</si>
  <si>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</si>
  <si>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</si>
  <si>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</si>
  <si>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</si>
  <si>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</si>
  <si>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</si>
  <si>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</si>
  <si>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</si>
  <si>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</si>
  <si>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</si>
  <si>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</si>
  <si>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</si>
  <si>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</si>
  <si>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</si>
  <si>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</si>
  <si>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</si>
  <si>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</si>
  <si>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</si>
  <si>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</si>
  <si>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</si>
  <si>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</si>
  <si>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</si>
  <si>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</si>
  <si>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</si>
  <si>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</si>
  <si>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</si>
  <si>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</si>
  <si>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</si>
  <si>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</si>
  <si>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</si>
  <si>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</si>
  <si>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</si>
  <si>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</si>
  <si>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</si>
  <si>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</si>
  <si>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</si>
  <si>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</si>
  <si>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</si>
  <si>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</si>
  <si>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</si>
  <si>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</si>
  <si>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</si>
  <si>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</si>
  <si>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</si>
  <si>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</si>
  <si>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</si>
  <si>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</si>
  <si>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</si>
  <si>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</si>
  <si>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</si>
  <si>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</si>
  <si>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</si>
  <si>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</si>
  <si>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</si>
  <si>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</si>
  <si>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</si>
  <si>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</si>
  <si>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</si>
  <si>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</si>
  <si>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</si>
  <si>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</si>
  <si>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</si>
  <si>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</si>
  <si>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</si>
  <si>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</si>
  <si>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</si>
  <si>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</si>
  <si>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</si>
  <si>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</si>
  <si>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</si>
  <si>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</si>
  <si>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</si>
  <si>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</si>
  <si>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</si>
  <si>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</si>
  <si>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</si>
  <si>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</si>
  <si>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</si>
  <si>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</si>
  <si>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</si>
  <si>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</si>
  <si>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</si>
  <si>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</si>
  <si>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</si>
  <si>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</si>
  <si>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</si>
  <si>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</si>
  <si>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</si>
  <si>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</si>
  <si>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</si>
  <si>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</si>
  <si>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</si>
  <si>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</si>
  <si>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</si>
  <si>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</si>
  <si>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</si>
  <si>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</si>
  <si>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</si>
  <si>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</si>
  <si>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</si>
  <si>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</si>
  <si>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</si>
  <si>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</si>
  <si>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</si>
  <si>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</si>
  <si>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</si>
  <si>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</si>
  <si>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</si>
  <si>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</si>
  <si>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</si>
  <si>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</si>
  <si>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</si>
  <si>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</si>
  <si>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</si>
  <si>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</si>
  <si>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</si>
  <si>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</si>
  <si>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</si>
  <si>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</si>
  <si>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</si>
  <si>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</si>
  <si>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</si>
  <si>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</si>
  <si>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</si>
  <si>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</si>
  <si>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</si>
  <si>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</si>
  <si>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</si>
  <si>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</si>
  <si>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</si>
  <si>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</si>
  <si>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</si>
  <si>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</si>
  <si>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</si>
  <si>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</si>
  <si>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</si>
  <si>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</si>
  <si>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</si>
  <si>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</si>
  <si>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</si>
  <si>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</si>
  <si>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</si>
  <si>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</si>
  <si>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</si>
  <si>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</si>
  <si>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</si>
  <si>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</si>
  <si>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</si>
  <si>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</si>
  <si>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</si>
  <si>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</si>
  <si>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</si>
  <si>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</si>
  <si>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</si>
  <si>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</si>
  <si>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</si>
  <si>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</si>
  <si>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</si>
  <si>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</si>
  <si>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</si>
  <si>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</si>
  <si>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</si>
  <si>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</si>
  <si>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</si>
  <si>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</si>
  <si>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</si>
  <si>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</si>
  <si>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</si>
  <si>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</si>
  <si>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</si>
  <si>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</si>
  <si>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</si>
  <si>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</si>
  <si>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</si>
  <si>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</si>
  <si>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</si>
  <si>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</si>
  <si>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</si>
  <si>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</si>
  <si>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</si>
  <si>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</si>
  <si>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</si>
  <si>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</si>
  <si>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</si>
  <si>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</si>
  <si>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</si>
  <si>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</si>
  <si>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</si>
  <si>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</si>
  <si>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</si>
  <si>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</si>
  <si>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</si>
  <si>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</si>
  <si>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</si>
  <si>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</si>
  <si>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</si>
  <si>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</si>
  <si>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</si>
  <si>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</si>
  <si>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</si>
  <si>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</si>
  <si>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</si>
  <si>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</si>
  <si>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</si>
  <si>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</si>
  <si>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</si>
  <si>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</si>
  <si>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</si>
  <si>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</si>
  <si>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</si>
  <si>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</si>
  <si>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</si>
  <si>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</si>
  <si>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</si>
  <si>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</si>
  <si>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</si>
  <si>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</si>
  <si>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</si>
  <si>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</si>
  <si>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</si>
  <si>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</si>
  <si>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</si>
  <si>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</si>
  <si>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</si>
  <si>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</si>
  <si>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</si>
  <si>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</si>
  <si>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</si>
  <si>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</si>
  <si>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</si>
  <si>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</si>
  <si>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</si>
  <si>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</si>
  <si>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</si>
  <si>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</si>
  <si>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</si>
  <si>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</si>
  <si>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</si>
  <si>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</si>
  <si>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</si>
  <si>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</si>
  <si>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</si>
  <si>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</si>
  <si>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</si>
  <si>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</si>
  <si>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</si>
  <si>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</si>
  <si>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</si>
  <si>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</si>
  <si>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</si>
  <si>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</si>
  <si>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</si>
  <si>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</si>
  <si>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</si>
  <si>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</si>
  <si>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</si>
  <si>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</si>
  <si>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</si>
  <si>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</si>
  <si>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</si>
  <si>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</si>
  <si>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</si>
  <si>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</si>
  <si>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</si>
  <si>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</si>
  <si>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</si>
  <si>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</si>
  <si>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</si>
  <si>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</si>
  <si>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</si>
  <si>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</si>
  <si>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</si>
  <si>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</si>
  <si>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</si>
  <si>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</si>
  <si>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</si>
  <si>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</si>
  <si>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</si>
  <si>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</si>
  <si>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</si>
  <si>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</si>
  <si>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</si>
  <si>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</si>
  <si>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</si>
  <si>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</si>
  <si>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</si>
  <si>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</si>
  <si>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</si>
  <si>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</si>
  <si>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</si>
  <si>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</si>
  <si>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</si>
  <si>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</si>
  <si>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</si>
  <si>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</si>
  <si>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</si>
  <si>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</si>
  <si>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</si>
  <si>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</si>
  <si>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</si>
  <si>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</si>
  <si>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</si>
  <si>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</si>
  <si>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</si>
  <si>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</si>
  <si>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</si>
  <si>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</si>
  <si>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</si>
  <si>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</si>
  <si>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</si>
  <si>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</si>
  <si>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</si>
  <si>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</si>
  <si>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</si>
  <si>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</si>
  <si>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</si>
  <si>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</si>
  <si>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</si>
  <si>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</si>
  <si>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</si>
  <si>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</si>
  <si>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</si>
  <si>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</si>
  <si>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</si>
  <si>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</si>
  <si>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</si>
  <si>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</si>
  <si>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</si>
  <si>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</si>
  <si>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</si>
  <si>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</si>
  <si>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</si>
  <si>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</si>
  <si>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</si>
  <si>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</si>
  <si>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</si>
  <si>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</si>
  <si>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</si>
  <si>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</si>
  <si>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</si>
  <si>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</si>
  <si>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</si>
  <si>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</si>
  <si>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</si>
  <si>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</si>
  <si>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</si>
  <si>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</si>
  <si>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</si>
  <si>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</si>
  <si>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</si>
  <si>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</si>
  <si>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</si>
  <si>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</si>
  <si>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</si>
  <si>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</si>
  <si>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</si>
  <si>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</si>
  <si>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</si>
  <si>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</si>
  <si>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</si>
  <si>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</si>
  <si>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</si>
  <si>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</si>
  <si>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</si>
  <si>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</si>
  <si>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</si>
  <si>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</si>
  <si>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</si>
  <si>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</si>
  <si>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</si>
  <si>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</si>
  <si>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</si>
  <si>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</si>
  <si>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</si>
  <si>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</si>
  <si>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</si>
  <si>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</si>
  <si>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</si>
  <si>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</si>
  <si>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</si>
  <si>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</si>
  <si>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</si>
  <si>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</si>
  <si>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</si>
  <si>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</si>
  <si>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</si>
  <si>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</si>
  <si>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</si>
  <si>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</si>
  <si>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</si>
  <si>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</si>
  <si>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</si>
  <si>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</si>
  <si>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</si>
  <si>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</si>
  <si>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</si>
  <si>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</si>
  <si>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</si>
  <si>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</si>
  <si>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</si>
  <si>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</si>
  <si>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</si>
  <si>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</si>
  <si>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</si>
  <si>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</si>
  <si>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</si>
  <si>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</si>
  <si>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</si>
  <si>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</si>
  <si>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</si>
  <si>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</si>
  <si>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</si>
  <si>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</si>
  <si>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</si>
  <si>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</si>
  <si>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</si>
  <si>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</si>
  <si>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</si>
  <si>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</si>
  <si>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</si>
  <si>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</si>
  <si>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</si>
  <si>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</si>
  <si>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</si>
  <si>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</si>
  <si>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</si>
  <si>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</si>
  <si>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</si>
  <si>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</si>
  <si>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</si>
  <si>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</si>
  <si>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</si>
  <si>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</si>
  <si>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</si>
  <si>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</si>
  <si>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</si>
  <si>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</si>
  <si>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</si>
  <si>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</si>
  <si>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</si>
  <si>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</si>
  <si>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</si>
  <si>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</si>
  <si>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</si>
  <si>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</si>
  <si>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</si>
  <si>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</si>
  <si>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</si>
  <si>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</si>
  <si>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</si>
  <si>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</si>
  <si>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</si>
  <si>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</si>
  <si>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</si>
  <si>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</si>
  <si>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</si>
  <si>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</si>
  <si>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</si>
  <si>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</si>
  <si>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</si>
  <si>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</si>
  <si>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</si>
  <si>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</si>
  <si>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</si>
  <si>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</si>
  <si>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</si>
  <si>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</si>
  <si>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</si>
  <si>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</si>
  <si>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</si>
  <si>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</si>
  <si>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</si>
  <si>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</si>
  <si>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</si>
  <si>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</si>
  <si>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</si>
  <si>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</si>
  <si>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</si>
  <si>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</si>
  <si>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</si>
  <si>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</si>
  <si>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</si>
  <si>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</si>
  <si>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</si>
  <si>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</si>
  <si>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</si>
  <si>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</si>
  <si>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</si>
  <si>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</si>
  <si>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</si>
  <si>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</si>
  <si>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</si>
  <si>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</si>
  <si>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</si>
  <si>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</si>
  <si>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</si>
  <si>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</si>
  <si>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</si>
  <si>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</si>
  <si>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</si>
  <si>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</si>
  <si>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</si>
  <si>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</si>
  <si>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</si>
  <si>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</si>
  <si>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</si>
  <si>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</si>
  <si>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</si>
  <si>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</si>
  <si>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</si>
  <si>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</si>
  <si>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</si>
  <si>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</si>
  <si>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</si>
  <si>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</si>
  <si>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</si>
  <si>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</si>
  <si>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</si>
  <si>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</si>
  <si>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</si>
  <si>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</si>
  <si>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</si>
  <si>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</si>
  <si>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</si>
  <si>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</si>
  <si>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</si>
  <si>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</si>
  <si>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</si>
  <si>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</si>
  <si>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</si>
  <si>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</si>
  <si>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</si>
  <si>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</si>
  <si>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</si>
  <si>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</si>
  <si>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</si>
  <si>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</si>
  <si>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</si>
  <si>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</si>
  <si>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</si>
  <si>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</si>
  <si>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</si>
  <si>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</si>
  <si>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</si>
  <si>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</si>
  <si>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</si>
  <si>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</si>
  <si>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</si>
  <si>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</si>
  <si>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</si>
  <si>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</si>
  <si>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</si>
  <si>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</si>
  <si>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</si>
  <si>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</si>
  <si>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</si>
  <si>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</si>
  <si>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</si>
  <si>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</si>
  <si>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</si>
  <si>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</si>
  <si>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</si>
  <si>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</si>
  <si>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</si>
  <si>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</si>
  <si>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</si>
  <si>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</si>
  <si>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</si>
  <si>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</si>
  <si>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</si>
  <si>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</si>
  <si>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</si>
  <si>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</si>
  <si>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</si>
  <si>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</si>
  <si>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</si>
  <si>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</si>
  <si>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</si>
  <si>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</si>
  <si>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</si>
  <si>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</si>
  <si>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</si>
  <si>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</si>
  <si>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</si>
  <si>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</si>
  <si>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</si>
  <si>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</si>
  <si>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</si>
  <si>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</si>
  <si>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</si>
  <si>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</si>
  <si>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</si>
  <si>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</si>
  <si>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</si>
  <si>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</si>
  <si>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</si>
  <si>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</si>
  <si>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</si>
  <si>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</si>
  <si>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</si>
  <si>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</si>
  <si>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</si>
  <si>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</si>
  <si>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</si>
  <si>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</si>
  <si>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</si>
  <si>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</si>
  <si>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</si>
  <si>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</si>
  <si>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</si>
  <si>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</si>
  <si>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</si>
  <si>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</si>
  <si>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</si>
  <si>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</si>
  <si>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</si>
  <si>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</si>
  <si>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</si>
  <si>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</si>
  <si>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</si>
  <si>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</si>
  <si>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</si>
  <si>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</si>
  <si>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</si>
  <si>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</si>
  <si>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</si>
  <si>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</si>
  <si>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</si>
  <si>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</si>
  <si>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</si>
  <si>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</si>
  <si>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</si>
  <si>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</si>
  <si>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</si>
  <si>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</si>
  <si>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</si>
  <si>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</si>
  <si>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</si>
  <si>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</si>
  <si>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</si>
  <si>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</si>
  <si>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</si>
  <si>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</si>
  <si>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</si>
  <si>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</si>
  <si>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</si>
  <si>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</si>
  <si>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</si>
  <si>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</si>
  <si>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</si>
  <si>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</si>
  <si>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</si>
  <si>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</si>
  <si>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</si>
  <si>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</si>
  <si>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</si>
  <si>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</si>
  <si>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</si>
  <si>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</si>
  <si>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</si>
  <si>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</si>
  <si>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</si>
  <si>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</si>
  <si>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</si>
  <si>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</si>
  <si>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</si>
  <si>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</si>
  <si>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</si>
  <si>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</si>
  <si>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</si>
  <si>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</si>
  <si>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</si>
  <si>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</si>
  <si>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</si>
  <si>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</si>
  <si>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</si>
  <si>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</si>
  <si>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</si>
  <si>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</si>
  <si>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</si>
  <si>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</si>
  <si>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</si>
  <si>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</si>
  <si>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</si>
  <si>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</si>
  <si>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</si>
  <si>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</si>
  <si>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</si>
  <si>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</si>
  <si>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</si>
  <si>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</si>
  <si>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</si>
  <si>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</si>
  <si>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</si>
  <si>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</si>
  <si>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</si>
  <si>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</si>
  <si>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</si>
  <si>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</si>
  <si>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</si>
  <si>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</si>
  <si>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</si>
  <si>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</si>
  <si>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</si>
  <si>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</si>
  <si>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</si>
  <si>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</si>
  <si>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</si>
  <si>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</si>
  <si>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</si>
  <si>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</si>
  <si>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</si>
  <si>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</si>
  <si>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</si>
  <si>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</si>
  <si>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</si>
  <si>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</si>
  <si>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</si>
  <si>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</si>
  <si>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</si>
  <si>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</si>
  <si>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</si>
  <si>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</si>
  <si>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</si>
  <si>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</si>
  <si>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</si>
  <si>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</si>
  <si>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</si>
  <si>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</si>
  <si>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</si>
  <si>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</si>
  <si>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</si>
  <si>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</si>
  <si>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</si>
  <si>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</si>
  <si>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</si>
  <si>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</si>
  <si>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</si>
  <si>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</si>
  <si>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</si>
  <si>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</si>
  <si>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</si>
  <si>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</si>
  <si>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</si>
  <si>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</si>
  <si>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</si>
  <si>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</si>
  <si>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</si>
  <si>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</si>
  <si>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</si>
  <si>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</si>
  <si>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</si>
  <si>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</si>
  <si>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</si>
  <si>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</si>
  <si>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</si>
  <si>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</si>
  <si>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</si>
  <si>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</si>
  <si>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</si>
  <si>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</si>
  <si>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</si>
  <si>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</si>
  <si>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</si>
  <si>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</si>
  <si>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</si>
  <si>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</si>
  <si>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</si>
  <si>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</si>
  <si>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</si>
  <si>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</si>
  <si>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</si>
  <si>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</si>
  <si>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</si>
  <si>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</si>
  <si>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</si>
  <si>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</si>
  <si>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</si>
  <si>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</si>
  <si>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</si>
  <si>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</si>
  <si>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</si>
  <si>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</si>
  <si>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</si>
  <si>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</si>
  <si>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</si>
  <si>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</si>
  <si>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</si>
  <si>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</si>
  <si>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</si>
  <si>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</si>
  <si>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</si>
  <si>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</si>
  <si>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</si>
  <si>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</si>
  <si>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</si>
  <si>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</si>
  <si>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</si>
  <si>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</si>
  <si>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</si>
  <si>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</si>
  <si>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</si>
  <si>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</si>
  <si>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</si>
  <si>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</si>
  <si>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</si>
  <si>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</si>
  <si>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</si>
  <si>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</si>
  <si>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</si>
  <si>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</si>
  <si>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</si>
  <si>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</si>
  <si>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</si>
  <si>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</si>
  <si>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</si>
  <si>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</si>
  <si>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</si>
  <si>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</si>
  <si>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</si>
  <si>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</si>
  <si>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</si>
  <si>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</si>
  <si>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</si>
  <si>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</si>
  <si>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</si>
  <si>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</si>
  <si>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</si>
  <si>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</si>
  <si>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</si>
  <si>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</si>
  <si>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</si>
  <si>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</si>
  <si>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</si>
  <si>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</si>
  <si>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</si>
  <si>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</si>
  <si>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</si>
  <si>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</si>
  <si>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</si>
  <si>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</si>
  <si>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</si>
  <si>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</si>
  <si>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</si>
  <si>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</si>
  <si>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</si>
  <si>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</si>
  <si>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</si>
  <si>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</si>
  <si>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</si>
  <si>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</si>
  <si>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</si>
  <si>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</si>
  <si>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</si>
  <si>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</si>
  <si>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</si>
  <si>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</si>
  <si>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</si>
  <si>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</si>
  <si>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</si>
  <si>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</si>
  <si>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</si>
  <si>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</si>
  <si>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</si>
  <si>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</si>
  <si>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</si>
  <si>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</si>
  <si>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</si>
  <si>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</si>
  <si>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</si>
  <si>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</si>
  <si>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</si>
  <si>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</si>
  <si>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</si>
  <si>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</si>
  <si>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</si>
  <si>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</si>
  <si>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</si>
  <si>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</si>
  <si>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</si>
  <si>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</si>
  <si>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</si>
  <si>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</si>
  <si>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</si>
  <si>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Sel.Amount</t>
  </si>
  <si>
    <t>Selected rep</t>
  </si>
  <si>
    <t>Column Labels</t>
  </si>
  <si>
    <t>Count of Call number</t>
  </si>
  <si>
    <t>TOTAL</t>
  </si>
  <si>
    <r>
      <rPr>
        <b/>
        <sz val="18"/>
        <color theme="0" tint="-0.499984740745262"/>
        <rFont val="Arial"/>
        <family val="2"/>
        <scheme val="minor"/>
      </rPr>
      <t>CALL CENTER REPORT</t>
    </r>
    <r>
      <rPr>
        <sz val="18"/>
        <color theme="1" tint="0.34998626667073579"/>
        <rFont val="Arial"/>
        <family val="2"/>
        <scheme val="minor"/>
      </rPr>
      <t xml:space="preserve"> -</t>
    </r>
    <r>
      <rPr>
        <sz val="18"/>
        <color theme="1"/>
        <rFont val="Arial"/>
        <family val="2"/>
        <scheme val="minor"/>
      </rPr>
      <t xml:space="preserve"> </t>
    </r>
    <r>
      <rPr>
        <sz val="18"/>
        <color theme="1" tint="0.499984740745262"/>
        <rFont val="Arial"/>
        <family val="2"/>
        <scheme val="minor"/>
      </rPr>
      <t>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</si>
</sst>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10"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0"/>
      <color theme="1"/>
      <name val="Arial"/>
      <family val="2"/>
      <scheme val="minor"/>
    </font>
    <font>
      <b/>
      <sz val="10"/>
      <color theme="1"/>
      <name val="Arial"/>
      <family val="2"/>
      <scheme val="minor"/>
    </font>
    <font>
      <b/>
      <sz val="18"/>
      <color theme="0" tint="-0.499984740745262"/>
      <name val="Arial"/>
      <family val="2"/>
      <scheme val="minor"/>
    </font>
    <font>
      <sz val="18"/>
      <color theme="1" tint="0.34998626667073579"/>
      <name val="Arial"/>
      <family val="2"/>
      <scheme val="minor"/>
    </font>
    <font>
      <sz val="18"/>
      <color theme="1"/>
      <name val="Arial"/>
      <family val="2"/>
      <scheme val="minor"/>
    </font>
    <font>
      <sz val="18"/>
      <color theme="1" tint="0.499984740745262"/>
      <name val="Arial"/>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s>
  <cellStyleXfs count="1">
    <xf numFmtId="0" fontId="0" fillId="0" borderId="0"/>
  </cellStyleXfs>
  <cellXfs count="4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NumberFormat="1"/>
    <xf numFmtId="0" fontId="0" fillId="0" borderId="0" xfId="0" applyAlignment="1">
      <alignment horizontal="left" indent="1"/>
    </xf>
    <xf numFmtId="0" fontId="0" fillId="5" borderId="10" xfId="0" applyFill="1" applyBorder="1"/>
    <xf numFmtId="0" fontId="1" fillId="5" borderId="11" xfId="0" applyFont="1" applyFill="1" applyBorder="1" applyAlignment="1">
      <alignment horizontal="right"/>
    </xf>
    <xf numFmtId="0" fontId="1" fillId="5" borderId="12" xfId="0" applyFont="1" applyFill="1" applyBorder="1" applyAlignment="1">
      <alignment horizontal="right"/>
    </xf>
    <xf numFmtId="168" fontId="5" fillId="5" borderId="13" xfId="0" applyNumberFormat="1" applyFont="1" applyFill="1" applyBorder="1"/>
    <xf numFmtId="168" fontId="4" fillId="5" borderId="0" xfId="0" applyNumberFormat="1" applyFont="1" applyFill="1" applyBorder="1"/>
    <xf numFmtId="168" fontId="4" fillId="5" borderId="14" xfId="0" applyNumberFormat="1" applyFont="1" applyFill="1" applyBorder="1"/>
    <xf numFmtId="168" fontId="4" fillId="5" borderId="13" xfId="0" applyNumberFormat="1" applyFont="1" applyFill="1" applyBorder="1" applyAlignment="1">
      <alignment horizontal="left" indent="1"/>
    </xf>
    <xf numFmtId="168" fontId="4" fillId="5" borderId="15" xfId="0" applyNumberFormat="1" applyFont="1" applyFill="1" applyBorder="1" applyAlignment="1">
      <alignment horizontal="left" indent="1"/>
    </xf>
    <xf numFmtId="168" fontId="4" fillId="5" borderId="16" xfId="0" applyNumberFormat="1" applyFont="1" applyFill="1" applyBorder="1"/>
    <xf numFmtId="168" fontId="4" fillId="5" borderId="17" xfId="0" applyNumberFormat="1" applyFont="1" applyFill="1" applyBorder="1"/>
    <xf numFmtId="0" fontId="8" fillId="3" borderId="0" xfId="0" applyFont="1" applyFill="1"/>
  </cellXfs>
  <cellStyles count="1">
    <cellStyle name="Normal" xfId="0" builtinId="0"/>
  </cellStyles>
  <dxfs count="36">
    <dxf>
      <fill>
        <patternFill>
          <bgColor theme="8" tint="0.59996337778862885"/>
        </patternFill>
      </fill>
      <border>
        <left style="thin">
          <color theme="1" tint="0.34998626667073579"/>
        </left>
        <right style="thin">
          <color theme="1" tint="0.34998626667073579"/>
        </right>
        <vertical/>
        <horizontal/>
      </bord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ont>
        <b/>
        <color theme="1"/>
      </font>
      <border>
        <bottom style="thin">
          <color theme="8"/>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35"/>
    </tableStyle>
    <tableStyle name="SlicerStyleDark5 2" pivot="0" table="0" count="10" xr9:uid="{C2DA1AE6-77B6-400A-A8B4-932A840D893A}">
      <tableStyleElement type="wholeTable" dxfId="20"/>
      <tableStyleElement type="headerRow" dxfId="19"/>
    </tableStyle>
  </tableStyles>
  <colors>
    <mruColors>
      <color rgb="FF0E86E0"/>
      <color rgb="FFFF9647"/>
      <color rgb="FFFF8D3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Structure" Target="richData/rdrichvaluestructure.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Report.xlsx]Pivots!weekday trend</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Pivots!$G$20</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Pivots!$F$21:$F$28</c:f>
              <c:strCache>
                <c:ptCount val="7"/>
                <c:pt idx="0">
                  <c:v>Sunday</c:v>
                </c:pt>
                <c:pt idx="1">
                  <c:v>Monday</c:v>
                </c:pt>
                <c:pt idx="2">
                  <c:v>Tuesday</c:v>
                </c:pt>
                <c:pt idx="3">
                  <c:v>Wednesday</c:v>
                </c:pt>
                <c:pt idx="4">
                  <c:v>Thursday</c:v>
                </c:pt>
                <c:pt idx="5">
                  <c:v>Friday</c:v>
                </c:pt>
                <c:pt idx="6">
                  <c:v>Saturday</c:v>
                </c:pt>
              </c:strCache>
            </c:strRef>
          </c:cat>
          <c:val>
            <c:numRef>
              <c:f>Pivots!$G$21:$G$28</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4349-4C60-9875-BF25A0749141}"/>
            </c:ext>
          </c:extLst>
        </c:ser>
        <c:dLbls>
          <c:dLblPos val="outEnd"/>
          <c:showLegendKey val="0"/>
          <c:showVal val="1"/>
          <c:showCatName val="0"/>
          <c:showSerName val="0"/>
          <c:showPercent val="0"/>
          <c:showBubbleSize val="0"/>
        </c:dLbls>
        <c:gapWidth val="25"/>
        <c:axId val="460926944"/>
        <c:axId val="460917824"/>
      </c:barChart>
      <c:catAx>
        <c:axId val="46092694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17824"/>
        <c:crosses val="autoZero"/>
        <c:auto val="1"/>
        <c:lblAlgn val="ctr"/>
        <c:lblOffset val="100"/>
        <c:noMultiLvlLbl val="0"/>
      </c:catAx>
      <c:valAx>
        <c:axId val="460917824"/>
        <c:scaling>
          <c:orientation val="minMax"/>
        </c:scaling>
        <c:delete val="1"/>
        <c:axPos val="t"/>
        <c:numFmt formatCode="#,##0" sourceLinked="1"/>
        <c:majorTickMark val="out"/>
        <c:minorTickMark val="none"/>
        <c:tickLblPos val="nextTo"/>
        <c:crossAx val="460926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Report.xlsx]Pivots!monthly trend</c:name>
    <c:fmtId val="10"/>
  </c:pivotSource>
  <c:chart>
    <c:title>
      <c:tx>
        <c:rich>
          <a:bodyPr rot="0" spcFirstLastPara="1" vertOverflow="ellipsis" vert="horz" wrap="square" anchor="ctr" anchorCtr="1"/>
          <a:lstStyle/>
          <a:p>
            <a:pPr>
              <a:defRPr sz="1600" b="0" i="0" u="none" strike="noStrike" kern="1200" spc="0" baseline="0">
                <a:solidFill>
                  <a:schemeClr val="accent5"/>
                </a:solidFill>
                <a:latin typeface="Franklin Gothic Heavy" panose="020B0903020102020204" pitchFamily="34" charset="0"/>
                <a:ea typeface="+mn-ea"/>
                <a:cs typeface="+mn-cs"/>
              </a:defRPr>
            </a:pPr>
            <a:r>
              <a:rPr lang="en-US" sz="1600">
                <a:solidFill>
                  <a:schemeClr val="accent5"/>
                </a:solidFill>
                <a:latin typeface="Franklin Gothic Heavy" panose="020B0903020102020204" pitchFamily="34" charset="0"/>
              </a:rPr>
              <a:t>Call Trend</a:t>
            </a:r>
          </a:p>
        </c:rich>
      </c:tx>
      <c:layout>
        <c:manualLayout>
          <c:xMode val="edge"/>
          <c:yMode val="edge"/>
          <c:x val="2.4941914869336983E-2"/>
          <c:y val="3.43434297908971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5"/>
              </a:solidFill>
              <a:latin typeface="Franklin Gothic Heavy" panose="020B0903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60000"/>
                  <a:lumOff val="40000"/>
                </a:schemeClr>
              </a:gs>
              <a:gs pos="100000">
                <a:schemeClr val="accent5"/>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7"/>
          <c:spPr>
            <a:solidFill>
              <a:schemeClr val="bg1">
                <a:lumMod val="95000"/>
              </a:schemeClr>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Pivots!$C$20</c:f>
              <c:strCache>
                <c:ptCount val="1"/>
                <c:pt idx="0">
                  <c:v>Call Count2</c:v>
                </c:pt>
              </c:strCache>
            </c:strRef>
          </c:tx>
          <c:spPr>
            <a:gradFill flip="none" rotWithShape="1">
              <a:gsLst>
                <a:gs pos="0">
                  <a:schemeClr val="accent5">
                    <a:lumMod val="60000"/>
                    <a:lumOff val="40000"/>
                  </a:schemeClr>
                </a:gs>
                <a:gs pos="100000">
                  <a:schemeClr val="accent5"/>
                </a:gs>
              </a:gsLst>
              <a:lin ang="16200000" scaled="1"/>
              <a:tileRect/>
            </a:gradFill>
            <a:ln>
              <a:noFill/>
            </a:ln>
            <a:effectLst/>
          </c:spP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Pivots!$C$21:$C$33</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8EA6-4188-975D-1BE7BE8F89A5}"/>
            </c:ext>
          </c:extLst>
        </c:ser>
        <c:dLbls>
          <c:showLegendKey val="0"/>
          <c:showVal val="0"/>
          <c:showCatName val="0"/>
          <c:showSerName val="0"/>
          <c:showPercent val="0"/>
          <c:showBubbleSize val="0"/>
        </c:dLbls>
        <c:axId val="380114192"/>
        <c:axId val="380098352"/>
      </c:areaChart>
      <c:lineChart>
        <c:grouping val="standard"/>
        <c:varyColors val="0"/>
        <c:ser>
          <c:idx val="0"/>
          <c:order val="0"/>
          <c:tx>
            <c:strRef>
              <c:f>Pivots!$B$20</c:f>
              <c:strCache>
                <c:ptCount val="1"/>
                <c:pt idx="0">
                  <c:v>Call Count</c:v>
                </c:pt>
              </c:strCache>
            </c:strRef>
          </c:tx>
          <c:spPr>
            <a:ln w="28575" cap="rnd">
              <a:solidFill>
                <a:schemeClr val="accent5"/>
              </a:solidFill>
              <a:round/>
            </a:ln>
            <a:effectLst/>
          </c:spPr>
          <c:marker>
            <c:symbol val="circle"/>
            <c:size val="7"/>
            <c:spPr>
              <a:solidFill>
                <a:schemeClr val="bg1">
                  <a:lumMod val="95000"/>
                </a:schemeClr>
              </a:solidFill>
              <a:ln w="25400">
                <a:solidFill>
                  <a:schemeClr val="tx1">
                    <a:lumMod val="85000"/>
                    <a:lumOff val="15000"/>
                  </a:schemeClr>
                </a:solidFill>
              </a:ln>
              <a:effectLst/>
            </c:spPr>
          </c:marke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Pivots!$B$21:$B$33</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8EA6-4188-975D-1BE7BE8F89A5}"/>
            </c:ext>
          </c:extLst>
        </c:ser>
        <c:dLbls>
          <c:showLegendKey val="0"/>
          <c:showVal val="0"/>
          <c:showCatName val="0"/>
          <c:showSerName val="0"/>
          <c:showPercent val="0"/>
          <c:showBubbleSize val="0"/>
        </c:dLbls>
        <c:marker val="1"/>
        <c:smooth val="0"/>
        <c:axId val="380114192"/>
        <c:axId val="380098352"/>
      </c:lineChart>
      <c:catAx>
        <c:axId val="38011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98352"/>
        <c:crosses val="autoZero"/>
        <c:auto val="1"/>
        <c:lblAlgn val="ctr"/>
        <c:lblOffset val="100"/>
        <c:noMultiLvlLbl val="0"/>
      </c:catAx>
      <c:valAx>
        <c:axId val="380098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11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spc="0" baseline="0">
                <a:solidFill>
                  <a:schemeClr val="accent5"/>
                </a:solidFill>
                <a:latin typeface="Franklin Gothic Heavy" panose="020B0903020102020204" pitchFamily="34" charset="0"/>
                <a:ea typeface="+mn-ea"/>
                <a:cs typeface="+mn-cs"/>
              </a:defRPr>
            </a:pPr>
            <a:r>
              <a:rPr lang="en-US" sz="1600" b="0" i="0" u="none" strike="noStrike" kern="1200" spc="0" baseline="0">
                <a:solidFill>
                  <a:schemeClr val="accent5"/>
                </a:solidFill>
                <a:latin typeface="Franklin Gothic Heavy" panose="020B0903020102020204" pitchFamily="34" charset="0"/>
                <a:ea typeface="+mn-ea"/>
                <a:cs typeface="+mn-cs"/>
              </a:rPr>
              <a:t>Calls</a:t>
            </a:r>
          </a:p>
        </c:rich>
      </c:tx>
      <c:layout>
        <c:manualLayout>
          <c:xMode val="edge"/>
          <c:yMode val="edge"/>
          <c:x val="6.4011623547056612E-2"/>
          <c:y val="2.244224655723568E-2"/>
        </c:manualLayout>
      </c:layout>
      <c:overlay val="0"/>
      <c:spPr>
        <a:noFill/>
        <a:ln>
          <a:noFill/>
        </a:ln>
        <a:effectLst/>
      </c:spPr>
      <c:txPr>
        <a:bodyPr rot="0" spcFirstLastPara="1" vertOverflow="ellipsis" vert="horz" wrap="square" anchor="ctr" anchorCtr="1"/>
        <a:lstStyle/>
        <a:p>
          <a:pPr>
            <a:defRPr lang="en-US" sz="1600" b="0" i="0" u="none" strike="noStrike" kern="1200" spc="0" baseline="0">
              <a:solidFill>
                <a:schemeClr val="accent5"/>
              </a:solidFill>
              <a:latin typeface="Franklin Gothic Heavy" panose="020B0903020102020204" pitchFamily="34" charset="0"/>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Pivots!$F$41:$F$45</c:f>
              <c:strCache>
                <c:ptCount val="5"/>
                <c:pt idx="0">
                  <c:v>R01</c:v>
                </c:pt>
                <c:pt idx="1">
                  <c:v>R02</c:v>
                </c:pt>
                <c:pt idx="2">
                  <c:v>R03</c:v>
                </c:pt>
                <c:pt idx="3">
                  <c:v>R04</c:v>
                </c:pt>
                <c:pt idx="4">
                  <c:v>R05</c:v>
                </c:pt>
              </c:strCache>
            </c:strRef>
          </c:cat>
          <c:val>
            <c:numRef>
              <c:f>Pivots!$G$41:$G$45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7FB-45E4-BCBB-6F5FD5BDAAEC}"/>
            </c:ext>
          </c:extLst>
        </c:ser>
        <c:ser>
          <c:idx val="1"/>
          <c:order val="1"/>
          <c:tx>
            <c:strRef>
              <c:f>Pivots!$I$41</c:f>
              <c:strCache>
                <c:ptCount val="1"/>
                <c:pt idx="0">
                  <c:v>#N/A</c:v>
                </c:pt>
              </c:strCache>
            </c:strRef>
          </c:tx>
          <c:spPr>
            <a:gradFill>
              <a:gsLst>
                <a:gs pos="100000">
                  <a:schemeClr val="accent5"/>
                </a:gs>
                <a:gs pos="0">
                  <a:schemeClr val="accent5">
                    <a:lumMod val="60000"/>
                    <a:lumOff val="40000"/>
                  </a:schemeClr>
                </a:gs>
              </a:gsLst>
              <a:lin ang="0" scaled="1"/>
            </a:gradFill>
            <a:ln>
              <a:noFill/>
            </a:ln>
            <a:effectLst/>
          </c:spPr>
          <c:invertIfNegative val="0"/>
          <c:dPt>
            <c:idx val="1"/>
            <c:invertIfNegative val="0"/>
            <c:bubble3D val="0"/>
            <c:spPr>
              <a:gradFill flip="none" rotWithShape="1">
                <a:gsLst>
                  <a:gs pos="100000">
                    <a:schemeClr val="accent5"/>
                  </a:gs>
                  <a:gs pos="0">
                    <a:schemeClr val="accent5">
                      <a:lumMod val="60000"/>
                      <a:lumOff val="40000"/>
                    </a:schemeClr>
                  </a:gs>
                </a:gsLst>
                <a:lin ang="0" scaled="1"/>
                <a:tileRect/>
              </a:gradFill>
              <a:ln>
                <a:noFill/>
              </a:ln>
              <a:effectLst/>
            </c:spPr>
            <c:extLst>
              <c:ext xmlns:c16="http://schemas.microsoft.com/office/drawing/2014/chart" uri="{C3380CC4-5D6E-409C-BE32-E72D297353CC}">
                <c16:uniqueId val="{00000002-453C-403E-927F-B4584ECABC97}"/>
              </c:ext>
            </c:extLst>
          </c:dPt>
          <c:dPt>
            <c:idx val="2"/>
            <c:invertIfNegative val="0"/>
            <c:bubble3D val="0"/>
            <c:spPr>
              <a:gradFill flip="none" rotWithShape="1">
                <a:gsLst>
                  <a:gs pos="100000">
                    <a:schemeClr val="accent5"/>
                  </a:gs>
                  <a:gs pos="0">
                    <a:schemeClr val="accent5">
                      <a:lumMod val="60000"/>
                      <a:lumOff val="40000"/>
                    </a:schemeClr>
                  </a:gs>
                </a:gsLst>
                <a:lin ang="0" scaled="1"/>
                <a:tileRect/>
              </a:gradFill>
              <a:ln>
                <a:noFill/>
              </a:ln>
              <a:effectLst/>
            </c:spPr>
            <c:extLst>
              <c:ext xmlns:c16="http://schemas.microsoft.com/office/drawing/2014/chart" uri="{C3380CC4-5D6E-409C-BE32-E72D297353CC}">
                <c16:uniqueId val="{00000002-C7FB-45E4-BCBB-6F5FD5BDAA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Pivots!$I$41:$I$45</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3-C7FB-45E4-BCBB-6F5FD5BDAAEC}"/>
            </c:ext>
          </c:extLst>
        </c:ser>
        <c:dLbls>
          <c:dLblPos val="outEnd"/>
          <c:showLegendKey val="0"/>
          <c:showVal val="1"/>
          <c:showCatName val="0"/>
          <c:showSerName val="0"/>
          <c:showPercent val="0"/>
          <c:showBubbleSize val="0"/>
        </c:dLbls>
        <c:gapWidth val="25"/>
        <c:overlap val="100"/>
        <c:axId val="1135383072"/>
        <c:axId val="1135392192"/>
      </c:barChart>
      <c:catAx>
        <c:axId val="11353830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92192"/>
        <c:crosses val="autoZero"/>
        <c:auto val="1"/>
        <c:lblAlgn val="ctr"/>
        <c:lblOffset val="100"/>
        <c:noMultiLvlLbl val="0"/>
      </c:catAx>
      <c:valAx>
        <c:axId val="1135392192"/>
        <c:scaling>
          <c:orientation val="minMax"/>
          <c:min val="0"/>
        </c:scaling>
        <c:delete val="1"/>
        <c:axPos val="t"/>
        <c:numFmt formatCode="General" sourceLinked="1"/>
        <c:majorTickMark val="none"/>
        <c:minorTickMark val="none"/>
        <c:tickLblPos val="nextTo"/>
        <c:crossAx val="1135383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spc="0" baseline="0">
                <a:solidFill>
                  <a:schemeClr val="accent5"/>
                </a:solidFill>
                <a:latin typeface="Franklin Gothic Heavy" panose="020B0903020102020204" pitchFamily="34" charset="0"/>
                <a:ea typeface="+mn-ea"/>
                <a:cs typeface="+mn-cs"/>
              </a:defRPr>
            </a:pPr>
            <a:r>
              <a:rPr lang="en-US" sz="1600" b="0" i="0" u="none" strike="noStrike" kern="1200" spc="0" baseline="0">
                <a:solidFill>
                  <a:schemeClr val="accent6"/>
                </a:solidFill>
                <a:latin typeface="Franklin Gothic Heavy" panose="020B0903020102020204" pitchFamily="34" charset="0"/>
                <a:ea typeface="+mn-ea"/>
                <a:cs typeface="+mn-cs"/>
              </a:rPr>
              <a:t>Amount</a:t>
            </a:r>
          </a:p>
        </c:rich>
      </c:tx>
      <c:layout>
        <c:manualLayout>
          <c:xMode val="edge"/>
          <c:yMode val="edge"/>
          <c:x val="8.4519674433199604E-2"/>
          <c:y val="2.244224655723568E-2"/>
        </c:manualLayout>
      </c:layout>
      <c:overlay val="0"/>
      <c:spPr>
        <a:noFill/>
        <a:ln>
          <a:noFill/>
        </a:ln>
        <a:effectLst/>
      </c:spPr>
      <c:txPr>
        <a:bodyPr rot="0" spcFirstLastPara="1" vertOverflow="ellipsis" vert="horz" wrap="square" anchor="ctr" anchorCtr="1"/>
        <a:lstStyle/>
        <a:p>
          <a:pPr>
            <a:defRPr lang="en-US" sz="1600" b="0" i="0" u="none" strike="noStrike" kern="1200" spc="0" baseline="0">
              <a:solidFill>
                <a:schemeClr val="accent5"/>
              </a:solidFill>
              <a:latin typeface="Franklin Gothic Heavy" panose="020B0903020102020204" pitchFamily="34" charset="0"/>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Pivots!$F$41:$F$45</c:f>
              <c:strCache>
                <c:ptCount val="5"/>
                <c:pt idx="0">
                  <c:v>R01</c:v>
                </c:pt>
                <c:pt idx="1">
                  <c:v>R02</c:v>
                </c:pt>
                <c:pt idx="2">
                  <c:v>R03</c:v>
                </c:pt>
                <c:pt idx="3">
                  <c:v>R04</c:v>
                </c:pt>
                <c:pt idx="4">
                  <c:v>R05</c:v>
                </c:pt>
              </c:strCache>
            </c:strRef>
          </c:cat>
          <c:val>
            <c:numRef>
              <c:f>Pivots!$H$41:$H$45</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2EC-482B-8F3F-9267136DE79B}"/>
            </c:ext>
          </c:extLst>
        </c:ser>
        <c:ser>
          <c:idx val="1"/>
          <c:order val="1"/>
          <c:tx>
            <c:strRef>
              <c:f>Pivots!$J$40</c:f>
              <c:strCache>
                <c:ptCount val="1"/>
                <c:pt idx="0">
                  <c:v>Sel.Amount</c:v>
                </c:pt>
              </c:strCache>
            </c:strRef>
          </c:tx>
          <c:spPr>
            <a:gradFill>
              <a:gsLst>
                <a:gs pos="0">
                  <a:schemeClr val="accent6">
                    <a:lumMod val="60000"/>
                    <a:lumOff val="40000"/>
                  </a:schemeClr>
                </a:gs>
                <a:gs pos="100000">
                  <a:schemeClr val="accent6"/>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Pivots!$J$41:$J$45</c:f>
              <c:numCache>
                <c:formatCode>"$"#,###.0,"k"</c:formatCode>
                <c:ptCount val="5"/>
                <c:pt idx="0">
                  <c:v>#N/A</c:v>
                </c:pt>
                <c:pt idx="1">
                  <c:v>#N/A</c:v>
                </c:pt>
                <c:pt idx="2">
                  <c:v>20872</c:v>
                </c:pt>
                <c:pt idx="3">
                  <c:v>#N/A</c:v>
                </c:pt>
                <c:pt idx="4">
                  <c:v>#N/A</c:v>
                </c:pt>
              </c:numCache>
            </c:numRef>
          </c:val>
          <c:extLst>
            <c:ext xmlns:c16="http://schemas.microsoft.com/office/drawing/2014/chart" uri="{C3380CC4-5D6E-409C-BE32-E72D297353CC}">
              <c16:uniqueId val="{00000001-12EC-482B-8F3F-9267136DE79B}"/>
            </c:ext>
          </c:extLst>
        </c:ser>
        <c:dLbls>
          <c:dLblPos val="outEnd"/>
          <c:showLegendKey val="0"/>
          <c:showVal val="1"/>
          <c:showCatName val="0"/>
          <c:showSerName val="0"/>
          <c:showPercent val="0"/>
          <c:showBubbleSize val="0"/>
        </c:dLbls>
        <c:gapWidth val="25"/>
        <c:overlap val="100"/>
        <c:axId val="1135383072"/>
        <c:axId val="1135392192"/>
      </c:barChart>
      <c:catAx>
        <c:axId val="1135383072"/>
        <c:scaling>
          <c:orientation val="maxMin"/>
        </c:scaling>
        <c:delete val="1"/>
        <c:axPos val="l"/>
        <c:numFmt formatCode="General" sourceLinked="1"/>
        <c:majorTickMark val="none"/>
        <c:minorTickMark val="none"/>
        <c:tickLblPos val="nextTo"/>
        <c:crossAx val="1135392192"/>
        <c:crosses val="autoZero"/>
        <c:auto val="1"/>
        <c:lblAlgn val="ctr"/>
        <c:lblOffset val="100"/>
        <c:noMultiLvlLbl val="0"/>
      </c:catAx>
      <c:valAx>
        <c:axId val="1135392192"/>
        <c:scaling>
          <c:orientation val="minMax"/>
          <c:min val="0"/>
        </c:scaling>
        <c:delete val="1"/>
        <c:axPos val="t"/>
        <c:numFmt formatCode="&quot;$&quot;#,###.0,&quot;k&quot;" sourceLinked="1"/>
        <c:majorTickMark val="none"/>
        <c:minorTickMark val="none"/>
        <c:tickLblPos val="nextTo"/>
        <c:crossAx val="1135383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9647"/>
                </a:solidFill>
              </a:rPr>
              <a:t>Female</a:t>
            </a:r>
            <a:r>
              <a:rPr lang="en-US" b="1"/>
              <a:t> vs. </a:t>
            </a:r>
            <a:r>
              <a:rPr lang="en-US" b="1">
                <a:solidFill>
                  <a:schemeClr val="accent4"/>
                </a:solidFill>
              </a:rPr>
              <a:t>Male</a:t>
            </a:r>
            <a:r>
              <a:rPr lang="en-US" b="1"/>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647"/>
          </a:solidFill>
          <a:ln>
            <a:noFill/>
          </a:ln>
          <a:effectLst/>
        </c:spPr>
        <c:marker>
          <c:symbol val="none"/>
        </c:marker>
        <c:dLbl>
          <c:idx val="0"/>
          <c:spPr>
            <a:solidFill>
              <a:schemeClr val="accent5">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accent4">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Pivots!$B$60:$B$61</c:f>
              <c:strCache>
                <c:ptCount val="1"/>
                <c:pt idx="0">
                  <c:v>Female</c:v>
                </c:pt>
              </c:strCache>
            </c:strRef>
          </c:tx>
          <c:spPr>
            <a:solidFill>
              <a:srgbClr val="FF9647"/>
            </a:solidFill>
            <a:ln>
              <a:noFill/>
            </a:ln>
            <a:effectLst/>
          </c:spPr>
          <c:invertIfNegative val="0"/>
          <c:dLbls>
            <c:spPr>
              <a:solidFill>
                <a:schemeClr val="accent5">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Pivots!$A$62:$A$65</c:f>
              <c:strCache>
                <c:ptCount val="3"/>
                <c:pt idx="0">
                  <c:v>Cincinnati</c:v>
                </c:pt>
                <c:pt idx="1">
                  <c:v>Cleveland</c:v>
                </c:pt>
                <c:pt idx="2">
                  <c:v>Columbus</c:v>
                </c:pt>
              </c:strCache>
            </c:strRef>
          </c:cat>
          <c:val>
            <c:numRef>
              <c:f>Pivots!$B$62:$B$65</c:f>
              <c:numCache>
                <c:formatCode>General</c:formatCode>
                <c:ptCount val="3"/>
                <c:pt idx="0">
                  <c:v>144</c:v>
                </c:pt>
                <c:pt idx="1">
                  <c:v>326</c:v>
                </c:pt>
                <c:pt idx="2">
                  <c:v>129</c:v>
                </c:pt>
              </c:numCache>
            </c:numRef>
          </c:val>
          <c:extLst>
            <c:ext xmlns:c16="http://schemas.microsoft.com/office/drawing/2014/chart" uri="{C3380CC4-5D6E-409C-BE32-E72D297353CC}">
              <c16:uniqueId val="{00000000-876D-424A-8A34-746479685A8B}"/>
            </c:ext>
          </c:extLst>
        </c:ser>
        <c:ser>
          <c:idx val="1"/>
          <c:order val="1"/>
          <c:tx>
            <c:strRef>
              <c:f>Pivots!$C$60:$C$61</c:f>
              <c:strCache>
                <c:ptCount val="1"/>
                <c:pt idx="0">
                  <c:v>Male</c:v>
                </c:pt>
              </c:strCache>
            </c:strRef>
          </c:tx>
          <c:spPr>
            <a:solidFill>
              <a:schemeClr val="accent4"/>
            </a:solidFill>
            <a:ln>
              <a:noFill/>
            </a:ln>
            <a:effectLst/>
          </c:spPr>
          <c:invertIfNegative val="0"/>
          <c:dLbls>
            <c:spPr>
              <a:solidFill>
                <a:schemeClr val="accent4">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Pivots!$A$62:$A$65</c:f>
              <c:strCache>
                <c:ptCount val="3"/>
                <c:pt idx="0">
                  <c:v>Cincinnati</c:v>
                </c:pt>
                <c:pt idx="1">
                  <c:v>Cleveland</c:v>
                </c:pt>
                <c:pt idx="2">
                  <c:v>Columbus</c:v>
                </c:pt>
              </c:strCache>
            </c:strRef>
          </c:cat>
          <c:val>
            <c:numRef>
              <c:f>Pivots!$C$62:$C$65</c:f>
              <c:numCache>
                <c:formatCode>General</c:formatCode>
                <c:ptCount val="3"/>
                <c:pt idx="0">
                  <c:v>132</c:v>
                </c:pt>
                <c:pt idx="1">
                  <c:v>63</c:v>
                </c:pt>
                <c:pt idx="2">
                  <c:v>206</c:v>
                </c:pt>
              </c:numCache>
            </c:numRef>
          </c:val>
          <c:extLst>
            <c:ext xmlns:c16="http://schemas.microsoft.com/office/drawing/2014/chart" uri="{C3380CC4-5D6E-409C-BE32-E72D297353CC}">
              <c16:uniqueId val="{00000001-876D-424A-8A34-746479685A8B}"/>
            </c:ext>
          </c:extLst>
        </c:ser>
        <c:dLbls>
          <c:showLegendKey val="0"/>
          <c:showVal val="0"/>
          <c:showCatName val="0"/>
          <c:showSerName val="0"/>
          <c:showPercent val="0"/>
          <c:showBubbleSize val="0"/>
        </c:dLbls>
        <c:gapWidth val="25"/>
        <c:overlap val="100"/>
        <c:axId val="1554681807"/>
        <c:axId val="1550160031"/>
      </c:barChart>
      <c:catAx>
        <c:axId val="155468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160031"/>
        <c:crosses val="autoZero"/>
        <c:auto val="1"/>
        <c:lblAlgn val="ctr"/>
        <c:lblOffset val="100"/>
        <c:noMultiLvlLbl val="0"/>
      </c:catAx>
      <c:valAx>
        <c:axId val="1550160031"/>
        <c:scaling>
          <c:orientation val="minMax"/>
        </c:scaling>
        <c:delete val="1"/>
        <c:axPos val="l"/>
        <c:numFmt formatCode="0%" sourceLinked="1"/>
        <c:majorTickMark val="none"/>
        <c:minorTickMark val="none"/>
        <c:tickLblPos val="nextTo"/>
        <c:crossAx val="1554681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Report.xlsx]Pivots!rep satisfaction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0E86E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Pivots!$B$71</c:f>
              <c:strCache>
                <c:ptCount val="1"/>
                <c:pt idx="0">
                  <c:v>Total</c:v>
                </c:pt>
              </c:strCache>
            </c:strRef>
          </c:tx>
          <c:spPr>
            <a:solidFill>
              <a:srgbClr val="0E86E0"/>
            </a:solidFill>
            <a:ln>
              <a:noFill/>
            </a:ln>
            <a:effectLst/>
          </c:spPr>
          <c:invertIfNegative val="0"/>
          <c:cat>
            <c:strRef>
              <c:f>Pivots!$A$72:$A$78</c:f>
              <c:strCache>
                <c:ptCount val="6"/>
                <c:pt idx="0">
                  <c:v>2</c:v>
                </c:pt>
                <c:pt idx="1">
                  <c:v>3</c:v>
                </c:pt>
                <c:pt idx="2">
                  <c:v>4</c:v>
                </c:pt>
                <c:pt idx="3">
                  <c:v>5</c:v>
                </c:pt>
                <c:pt idx="4">
                  <c:v>1</c:v>
                </c:pt>
                <c:pt idx="5">
                  <c:v>0</c:v>
                </c:pt>
              </c:strCache>
            </c:strRef>
          </c:cat>
          <c:val>
            <c:numRef>
              <c:f>Pivots!$B$72:$B$78</c:f>
              <c:numCache>
                <c:formatCode>General</c:formatCode>
                <c:ptCount val="6"/>
                <c:pt idx="0">
                  <c:v>11</c:v>
                </c:pt>
                <c:pt idx="1">
                  <c:v>46</c:v>
                </c:pt>
                <c:pt idx="2">
                  <c:v>88</c:v>
                </c:pt>
                <c:pt idx="3">
                  <c:v>60</c:v>
                </c:pt>
                <c:pt idx="4">
                  <c:v>1</c:v>
                </c:pt>
                <c:pt idx="5">
                  <c:v>1</c:v>
                </c:pt>
              </c:numCache>
            </c:numRef>
          </c:val>
          <c:extLst>
            <c:ext xmlns:c16="http://schemas.microsoft.com/office/drawing/2014/chart" uri="{C3380CC4-5D6E-409C-BE32-E72D297353CC}">
              <c16:uniqueId val="{00000000-740B-46A4-990D-21BC7A59FE8F}"/>
            </c:ext>
          </c:extLst>
        </c:ser>
        <c:dLbls>
          <c:showLegendKey val="0"/>
          <c:showVal val="0"/>
          <c:showCatName val="0"/>
          <c:showSerName val="0"/>
          <c:showPercent val="0"/>
          <c:showBubbleSize val="0"/>
        </c:dLbls>
        <c:gapWidth val="10"/>
        <c:overlap val="-27"/>
        <c:axId val="1897947631"/>
        <c:axId val="1897927951"/>
      </c:barChart>
      <c:catAx>
        <c:axId val="1897947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927951"/>
        <c:crosses val="autoZero"/>
        <c:auto val="1"/>
        <c:lblAlgn val="ctr"/>
        <c:lblOffset val="100"/>
        <c:noMultiLvlLbl val="0"/>
      </c:catAx>
      <c:valAx>
        <c:axId val="189792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947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chart" Target="../charts/chart3.xml"/><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chart" Target="../charts/chart2.xml"/><Relationship Id="rId2" Type="http://schemas.openxmlformats.org/officeDocument/2006/relationships/image" Target="../media/image14.svg"/><Relationship Id="rId16" Type="http://schemas.openxmlformats.org/officeDocument/2006/relationships/chart" Target="../charts/chart6.xml"/><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chart" Target="../charts/chart1.xml"/><Relationship Id="rId5" Type="http://schemas.openxmlformats.org/officeDocument/2006/relationships/image" Target="../media/image17.png"/><Relationship Id="rId15" Type="http://schemas.openxmlformats.org/officeDocument/2006/relationships/chart" Target="../charts/chart5.xml"/><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962025</xdr:colOff>
      <xdr:row>2</xdr:row>
      <xdr:rowOff>0</xdr:rowOff>
    </xdr:from>
    <xdr:to>
      <xdr:col>8</xdr:col>
      <xdr:colOff>171450</xdr:colOff>
      <xdr:row>15</xdr:row>
      <xdr:rowOff>171450</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560F6D54-3442-6F8C-215A-2768149D23E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953000" y="361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165402</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305957</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24848</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4016</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173194</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526675</xdr:colOff>
      <xdr:row>18</xdr:row>
      <xdr:rowOff>1</xdr:rowOff>
    </xdr:from>
    <xdr:to>
      <xdr:col>13</xdr:col>
      <xdr:colOff>605117</xdr:colOff>
      <xdr:row>28</xdr:row>
      <xdr:rowOff>67235</xdr:rowOff>
    </xdr:to>
    <mc:AlternateContent xmlns:mc="http://schemas.openxmlformats.org/markup-compatibility/2006">
      <mc:Choice xmlns:a14="http://schemas.microsoft.com/office/drawing/2010/main" Requires="a14">
        <xdr:graphicFrame macro="">
          <xdr:nvGraphicFramePr>
            <xdr:cNvPr id="22" name="Representative 1">
              <a:extLst>
                <a:ext uri="{FF2B5EF4-FFF2-40B4-BE49-F238E27FC236}">
                  <a16:creationId xmlns:a16="http://schemas.microsoft.com/office/drawing/2014/main" id="{3A8754D7-B58C-4EB6-B013-222F4025FEA7}"/>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6543687" y="3519605"/>
              <a:ext cx="1449113" cy="1925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212912</xdr:colOff>
      <xdr:row>16</xdr:row>
      <xdr:rowOff>168088</xdr:rowOff>
    </xdr:from>
    <xdr:to>
      <xdr:col>11</xdr:col>
      <xdr:colOff>560294</xdr:colOff>
      <xdr:row>36</xdr:row>
      <xdr:rowOff>11206</xdr:rowOff>
    </xdr:to>
    <xdr:sp macro="" textlink="">
      <xdr:nvSpPr>
        <xdr:cNvPr id="27" name="Rectangle 26">
          <a:extLst>
            <a:ext uri="{FF2B5EF4-FFF2-40B4-BE49-F238E27FC236}">
              <a16:creationId xmlns:a16="http://schemas.microsoft.com/office/drawing/2014/main" id="{EB321318-F647-A20F-60DB-CEA5FBE3F407}"/>
            </a:ext>
          </a:extLst>
        </xdr:cNvPr>
        <xdr:cNvSpPr/>
      </xdr:nvSpPr>
      <xdr:spPr>
        <a:xfrm>
          <a:off x="1893794" y="3036794"/>
          <a:ext cx="4672853" cy="3429000"/>
        </a:xfrm>
        <a:prstGeom prst="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2</xdr:row>
      <xdr:rowOff>180974</xdr:rowOff>
    </xdr:from>
    <xdr:to>
      <xdr:col>4</xdr:col>
      <xdr:colOff>0</xdr:colOff>
      <xdr:row>7</xdr:row>
      <xdr:rowOff>180974</xdr:rowOff>
    </xdr:to>
    <xdr:sp macro="" textlink="Pivots!A4">
      <xdr:nvSpPr>
        <xdr:cNvPr id="2" name="Rectangle 1">
          <a:extLst>
            <a:ext uri="{FF2B5EF4-FFF2-40B4-BE49-F238E27FC236}">
              <a16:creationId xmlns:a16="http://schemas.microsoft.com/office/drawing/2014/main" id="{80203698-1EE5-09CC-2167-24A67E11E141}"/>
            </a:ext>
          </a:extLst>
        </xdr:cNvPr>
        <xdr:cNvSpPr/>
      </xdr:nvSpPr>
      <xdr:spPr>
        <a:xfrm>
          <a:off x="304800" y="542924"/>
          <a:ext cx="1371600" cy="904875"/>
        </a:xfrm>
        <a:prstGeom prst="rect">
          <a:avLst/>
        </a:prstGeom>
        <a:solidFill>
          <a:schemeClr val="accent6"/>
        </a:solidFill>
        <a:ln>
          <a:noFill/>
        </a:ln>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28C89C-2103-42E3-8A0A-74C991C36F17}" type="TxLink">
            <a:rPr lang="en-US" sz="2400" b="0" i="0" u="none" strike="noStrike">
              <a:ln>
                <a:noFill/>
              </a:ln>
              <a:solidFill>
                <a:schemeClr val="bg1">
                  <a:lumMod val="95000"/>
                </a:schemeClr>
              </a:solidFill>
              <a:effectLst>
                <a:outerShdw blurRad="50800" dist="38100" dir="2700000" algn="tl" rotWithShape="0">
                  <a:prstClr val="black">
                    <a:alpha val="40000"/>
                  </a:prstClr>
                </a:outerShdw>
              </a:effectLst>
              <a:latin typeface="Franklin Gothic Heavy" panose="020B0903020102020204" pitchFamily="34" charset="0"/>
              <a:cs typeface="Arial"/>
            </a:rPr>
            <a:pPr algn="ctr"/>
            <a:t>1,000</a:t>
          </a:fld>
          <a:endParaRPr lang="en-US" sz="2400">
            <a:ln>
              <a:noFill/>
            </a:ln>
            <a:solidFill>
              <a:schemeClr val="bg1">
                <a:lumMod val="95000"/>
              </a:schemeClr>
            </a:solidFill>
            <a:effectLst>
              <a:outerShdw blurRad="50800" dist="38100" dir="2700000" algn="tl" rotWithShape="0">
                <a:prstClr val="black">
                  <a:alpha val="40000"/>
                </a:prstClr>
              </a:outerShdw>
            </a:effectLst>
            <a:latin typeface="Franklin Gothic Heavy" panose="020B0903020102020204" pitchFamily="34" charset="0"/>
          </a:endParaRPr>
        </a:p>
      </xdr:txBody>
    </xdr:sp>
    <xdr:clientData/>
  </xdr:twoCellAnchor>
  <xdr:twoCellAnchor>
    <xdr:from>
      <xdr:col>2</xdr:col>
      <xdr:colOff>190500</xdr:colOff>
      <xdr:row>3</xdr:row>
      <xdr:rowOff>57150</xdr:rowOff>
    </xdr:from>
    <xdr:to>
      <xdr:col>3</xdr:col>
      <xdr:colOff>457200</xdr:colOff>
      <xdr:row>4</xdr:row>
      <xdr:rowOff>142875</xdr:rowOff>
    </xdr:to>
    <xdr:sp macro="" textlink="">
      <xdr:nvSpPr>
        <xdr:cNvPr id="3" name="TextBox 2">
          <a:extLst>
            <a:ext uri="{FF2B5EF4-FFF2-40B4-BE49-F238E27FC236}">
              <a16:creationId xmlns:a16="http://schemas.microsoft.com/office/drawing/2014/main" id="{665319FF-B828-A3D9-8993-6F020FF189DA}"/>
            </a:ext>
          </a:extLst>
        </xdr:cNvPr>
        <xdr:cNvSpPr txBox="1"/>
      </xdr:nvSpPr>
      <xdr:spPr>
        <a:xfrm>
          <a:off x="495300" y="600075"/>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chemeClr val="accent6">
                  <a:lumMod val="20000"/>
                  <a:lumOff val="80000"/>
                </a:schemeClr>
              </a:solidFill>
              <a:latin typeface="Arial Black" panose="020B0A04020102020204" pitchFamily="34" charset="0"/>
            </a:rPr>
            <a:t>Calls</a:t>
          </a:r>
        </a:p>
      </xdr:txBody>
    </xdr:sp>
    <xdr:clientData/>
  </xdr:twoCellAnchor>
  <xdr:twoCellAnchor editAs="oneCell">
    <xdr:from>
      <xdr:col>2</xdr:col>
      <xdr:colOff>65607</xdr:colOff>
      <xdr:row>3</xdr:row>
      <xdr:rowOff>94742</xdr:rowOff>
    </xdr:from>
    <xdr:to>
      <xdr:col>2</xdr:col>
      <xdr:colOff>254969</xdr:colOff>
      <xdr:row>4</xdr:row>
      <xdr:rowOff>103462</xdr:rowOff>
    </xdr:to>
    <xdr:pic>
      <xdr:nvPicPr>
        <xdr:cNvPr id="4" name="Graphic 3" descr="Receiver with solid fill">
          <a:extLst>
            <a:ext uri="{FF2B5EF4-FFF2-40B4-BE49-F238E27FC236}">
              <a16:creationId xmlns:a16="http://schemas.microsoft.com/office/drawing/2014/main" id="{566D8B76-0802-4F47-9027-273CCE9F75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181989">
          <a:off x="379372" y="632624"/>
          <a:ext cx="189362" cy="188015"/>
        </a:xfrm>
        <a:prstGeom prst="rect">
          <a:avLst/>
        </a:prstGeom>
      </xdr:spPr>
    </xdr:pic>
    <xdr:clientData/>
  </xdr:twoCellAnchor>
  <xdr:twoCellAnchor>
    <xdr:from>
      <xdr:col>2</xdr:col>
      <xdr:colOff>276225</xdr:colOff>
      <xdr:row>6</xdr:row>
      <xdr:rowOff>123825</xdr:rowOff>
    </xdr:from>
    <xdr:to>
      <xdr:col>3</xdr:col>
      <xdr:colOff>361950</xdr:colOff>
      <xdr:row>7</xdr:row>
      <xdr:rowOff>114300</xdr:rowOff>
    </xdr:to>
    <xdr:sp macro="" textlink="Pivots!A10">
      <xdr:nvSpPr>
        <xdr:cNvPr id="5" name="TextBox 4">
          <a:extLst>
            <a:ext uri="{FF2B5EF4-FFF2-40B4-BE49-F238E27FC236}">
              <a16:creationId xmlns:a16="http://schemas.microsoft.com/office/drawing/2014/main" id="{DC4F5C4F-74EE-C2D6-AF50-AC993155A705}"/>
            </a:ext>
          </a:extLst>
        </xdr:cNvPr>
        <xdr:cNvSpPr txBox="1"/>
      </xdr:nvSpPr>
      <xdr:spPr>
        <a:xfrm>
          <a:off x="581025" y="1209675"/>
          <a:ext cx="7715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8C38BF-A46F-4396-A91E-F945D14EE63D}" type="TxLink">
            <a:rPr lang="en-US" sz="900" b="0" i="0" u="none" strike="noStrike">
              <a:solidFill>
                <a:schemeClr val="accent6">
                  <a:lumMod val="20000"/>
                  <a:lumOff val="80000"/>
                </a:schemeClr>
              </a:solidFill>
              <a:latin typeface="Arial"/>
              <a:cs typeface="Arial"/>
            </a:rPr>
            <a:pPr algn="ctr"/>
            <a:t>207</a:t>
          </a:fld>
          <a:endParaRPr lang="en-US" sz="900">
            <a:solidFill>
              <a:schemeClr val="accent6">
                <a:lumMod val="20000"/>
                <a:lumOff val="80000"/>
              </a:schemeClr>
            </a:solidFill>
          </a:endParaRPr>
        </a:p>
      </xdr:txBody>
    </xdr:sp>
    <xdr:clientData/>
  </xdr:twoCellAnchor>
  <xdr:twoCellAnchor>
    <xdr:from>
      <xdr:col>2</xdr:col>
      <xdr:colOff>0</xdr:colOff>
      <xdr:row>10</xdr:row>
      <xdr:rowOff>0</xdr:rowOff>
    </xdr:from>
    <xdr:to>
      <xdr:col>4</xdr:col>
      <xdr:colOff>0</xdr:colOff>
      <xdr:row>15</xdr:row>
      <xdr:rowOff>0</xdr:rowOff>
    </xdr:to>
    <xdr:sp macro="" textlink="Pivots!B4">
      <xdr:nvSpPr>
        <xdr:cNvPr id="6" name="Rectangle 5">
          <a:extLst>
            <a:ext uri="{FF2B5EF4-FFF2-40B4-BE49-F238E27FC236}">
              <a16:creationId xmlns:a16="http://schemas.microsoft.com/office/drawing/2014/main" id="{92B7341B-1382-4861-9766-981E4F7430E2}"/>
            </a:ext>
          </a:extLst>
        </xdr:cNvPr>
        <xdr:cNvSpPr/>
      </xdr:nvSpPr>
      <xdr:spPr>
        <a:xfrm>
          <a:off x="304800" y="1809750"/>
          <a:ext cx="1371600" cy="904875"/>
        </a:xfrm>
        <a:prstGeom prst="rect">
          <a:avLst/>
        </a:prstGeom>
        <a:solidFill>
          <a:schemeClr val="accent6"/>
        </a:solidFill>
        <a:ln>
          <a:noFill/>
        </a:ln>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1C2C701-0276-42A4-BC02-B3374A94787D}" type="TxLink">
            <a:rPr lang="en-US" sz="2400" b="0" i="0" u="none" strike="noStrike">
              <a:ln>
                <a:noFill/>
              </a:ln>
              <a:solidFill>
                <a:schemeClr val="bg1">
                  <a:lumMod val="95000"/>
                </a:schemeClr>
              </a:solidFill>
              <a:effectLst>
                <a:outerShdw blurRad="50800" dist="38100" dir="2700000" algn="tl" rotWithShape="0">
                  <a:prstClr val="black">
                    <a:alpha val="40000"/>
                  </a:prstClr>
                </a:outerShdw>
              </a:effectLst>
              <a:latin typeface="Franklin Gothic Heavy" panose="020B0903020102020204" pitchFamily="34" charset="0"/>
              <a:ea typeface="+mn-ea"/>
              <a:cs typeface="Arial"/>
            </a:rPr>
            <a:pPr marL="0" indent="0" algn="ctr"/>
            <a:t>$96,623</a:t>
          </a:fld>
          <a:endParaRPr lang="en-US" sz="2400" b="0" i="0" u="none" strike="noStrike">
            <a:ln>
              <a:noFill/>
            </a:ln>
            <a:solidFill>
              <a:schemeClr val="bg1">
                <a:lumMod val="95000"/>
              </a:schemeClr>
            </a:solidFill>
            <a:effectLst>
              <a:outerShdw blurRad="50800" dist="38100" dir="2700000" algn="tl" rotWithShape="0">
                <a:prstClr val="black">
                  <a:alpha val="40000"/>
                </a:prstClr>
              </a:outerShdw>
            </a:effectLst>
            <a:latin typeface="Franklin Gothic Heavy" panose="020B0903020102020204" pitchFamily="34" charset="0"/>
            <a:ea typeface="+mn-ea"/>
            <a:cs typeface="Arial"/>
          </a:endParaRPr>
        </a:p>
      </xdr:txBody>
    </xdr:sp>
    <xdr:clientData/>
  </xdr:twoCellAnchor>
  <xdr:twoCellAnchor>
    <xdr:from>
      <xdr:col>2</xdr:col>
      <xdr:colOff>190500</xdr:colOff>
      <xdr:row>10</xdr:row>
      <xdr:rowOff>57151</xdr:rowOff>
    </xdr:from>
    <xdr:to>
      <xdr:col>3</xdr:col>
      <xdr:colOff>457200</xdr:colOff>
      <xdr:row>11</xdr:row>
      <xdr:rowOff>142876</xdr:rowOff>
    </xdr:to>
    <xdr:sp macro="" textlink="">
      <xdr:nvSpPr>
        <xdr:cNvPr id="7" name="TextBox 6">
          <a:extLst>
            <a:ext uri="{FF2B5EF4-FFF2-40B4-BE49-F238E27FC236}">
              <a16:creationId xmlns:a16="http://schemas.microsoft.com/office/drawing/2014/main" id="{1DB12A6A-D56C-42AD-82FA-6662B01B6CB0}"/>
            </a:ext>
          </a:extLst>
        </xdr:cNvPr>
        <xdr:cNvSpPr txBox="1"/>
      </xdr:nvSpPr>
      <xdr:spPr>
        <a:xfrm>
          <a:off x="495300" y="1866901"/>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chemeClr val="accent6">
                  <a:lumMod val="20000"/>
                  <a:lumOff val="80000"/>
                </a:schemeClr>
              </a:solidFill>
              <a:latin typeface="Arial Black" panose="020B0A04020102020204" pitchFamily="34" charset="0"/>
            </a:rPr>
            <a:t>Amount</a:t>
          </a:r>
        </a:p>
      </xdr:txBody>
    </xdr:sp>
    <xdr:clientData/>
  </xdr:twoCellAnchor>
  <xdr:twoCellAnchor editAs="oneCell">
    <xdr:from>
      <xdr:col>2</xdr:col>
      <xdr:colOff>46015</xdr:colOff>
      <xdr:row>10</xdr:row>
      <xdr:rowOff>45258</xdr:rowOff>
    </xdr:from>
    <xdr:to>
      <xdr:col>2</xdr:col>
      <xdr:colOff>280617</xdr:colOff>
      <xdr:row>11</xdr:row>
      <xdr:rowOff>100565</xdr:rowOff>
    </xdr:to>
    <xdr:pic>
      <xdr:nvPicPr>
        <xdr:cNvPr id="8" name="Graphic 7">
          <a:extLst>
            <a:ext uri="{FF2B5EF4-FFF2-40B4-BE49-F238E27FC236}">
              <a16:creationId xmlns:a16="http://schemas.microsoft.com/office/drawing/2014/main" id="{39CC66B8-BEC8-4349-8DAD-9A0F68A47E6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59780" y="1838199"/>
          <a:ext cx="234602" cy="234602"/>
        </a:xfrm>
        <a:prstGeom prst="rect">
          <a:avLst/>
        </a:prstGeom>
      </xdr:spPr>
    </xdr:pic>
    <xdr:clientData/>
  </xdr:twoCellAnchor>
  <xdr:twoCellAnchor>
    <xdr:from>
      <xdr:col>2</xdr:col>
      <xdr:colOff>276225</xdr:colOff>
      <xdr:row>13</xdr:row>
      <xdr:rowOff>123826</xdr:rowOff>
    </xdr:from>
    <xdr:to>
      <xdr:col>3</xdr:col>
      <xdr:colOff>361950</xdr:colOff>
      <xdr:row>14</xdr:row>
      <xdr:rowOff>114301</xdr:rowOff>
    </xdr:to>
    <xdr:sp macro="" textlink="Pivots!B10">
      <xdr:nvSpPr>
        <xdr:cNvPr id="9" name="TextBox 8">
          <a:extLst>
            <a:ext uri="{FF2B5EF4-FFF2-40B4-BE49-F238E27FC236}">
              <a16:creationId xmlns:a16="http://schemas.microsoft.com/office/drawing/2014/main" id="{2978AD55-F25C-4A02-A29C-99AE842D78DA}"/>
            </a:ext>
          </a:extLst>
        </xdr:cNvPr>
        <xdr:cNvSpPr txBox="1"/>
      </xdr:nvSpPr>
      <xdr:spPr>
        <a:xfrm>
          <a:off x="581025" y="2476501"/>
          <a:ext cx="7715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385703-BC75-402C-BD32-2594F6764A38}" type="TxLink">
            <a:rPr lang="en-US" sz="1100" b="0" i="0" u="none" strike="noStrike">
              <a:solidFill>
                <a:schemeClr val="accent6">
                  <a:lumMod val="20000"/>
                  <a:lumOff val="80000"/>
                </a:schemeClr>
              </a:solidFill>
              <a:latin typeface="Arial"/>
              <a:cs typeface="Arial"/>
            </a:rPr>
            <a:pPr algn="ctr"/>
            <a:t>$20,872</a:t>
          </a:fld>
          <a:endParaRPr lang="en-US" sz="900">
            <a:solidFill>
              <a:schemeClr val="accent6">
                <a:lumMod val="20000"/>
                <a:lumOff val="80000"/>
              </a:schemeClr>
            </a:solidFill>
          </a:endParaRPr>
        </a:p>
      </xdr:txBody>
    </xdr:sp>
    <xdr:clientData/>
  </xdr:twoCellAnchor>
  <xdr:twoCellAnchor>
    <xdr:from>
      <xdr:col>2</xdr:col>
      <xdr:colOff>0</xdr:colOff>
      <xdr:row>17</xdr:row>
      <xdr:rowOff>0</xdr:rowOff>
    </xdr:from>
    <xdr:to>
      <xdr:col>4</xdr:col>
      <xdr:colOff>0</xdr:colOff>
      <xdr:row>22</xdr:row>
      <xdr:rowOff>0</xdr:rowOff>
    </xdr:to>
    <xdr:sp macro="" textlink="Pivots!C4">
      <xdr:nvSpPr>
        <xdr:cNvPr id="10" name="Rectangle 9">
          <a:extLst>
            <a:ext uri="{FF2B5EF4-FFF2-40B4-BE49-F238E27FC236}">
              <a16:creationId xmlns:a16="http://schemas.microsoft.com/office/drawing/2014/main" id="{11D3E102-127E-4944-9660-681E103A1411}"/>
            </a:ext>
          </a:extLst>
        </xdr:cNvPr>
        <xdr:cNvSpPr/>
      </xdr:nvSpPr>
      <xdr:spPr>
        <a:xfrm>
          <a:off x="304800" y="3076575"/>
          <a:ext cx="1371600" cy="904875"/>
        </a:xfrm>
        <a:prstGeom prst="rect">
          <a:avLst/>
        </a:prstGeom>
        <a:solidFill>
          <a:schemeClr val="accent6"/>
        </a:solidFill>
        <a:ln>
          <a:noFill/>
        </a:ln>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647CE39-00FF-4EB1-B926-417E699BEBEF}" type="TxLink">
            <a:rPr lang="en-US" sz="2400" b="0" i="0" u="none" strike="noStrike">
              <a:ln>
                <a:noFill/>
              </a:ln>
              <a:solidFill>
                <a:schemeClr val="bg1">
                  <a:lumMod val="95000"/>
                </a:schemeClr>
              </a:solidFill>
              <a:effectLst>
                <a:outerShdw blurRad="50800" dist="38100" dir="2700000" algn="tl" rotWithShape="0">
                  <a:prstClr val="black">
                    <a:alpha val="40000"/>
                  </a:prstClr>
                </a:outerShdw>
              </a:effectLst>
              <a:latin typeface="Franklin Gothic Heavy" panose="020B0903020102020204" pitchFamily="34" charset="0"/>
              <a:ea typeface="+mn-ea"/>
              <a:cs typeface="Arial"/>
            </a:rPr>
            <a:pPr marL="0" indent="0" algn="ctr"/>
            <a:t>89,850</a:t>
          </a:fld>
          <a:endParaRPr lang="en-US" sz="2400" b="0" i="0" u="none" strike="noStrike">
            <a:ln>
              <a:noFill/>
            </a:ln>
            <a:solidFill>
              <a:schemeClr val="bg1">
                <a:lumMod val="95000"/>
              </a:schemeClr>
            </a:solidFill>
            <a:effectLst>
              <a:outerShdw blurRad="50800" dist="38100" dir="2700000" algn="tl" rotWithShape="0">
                <a:prstClr val="black">
                  <a:alpha val="40000"/>
                </a:prstClr>
              </a:outerShdw>
            </a:effectLst>
            <a:latin typeface="Franklin Gothic Heavy" panose="020B0903020102020204" pitchFamily="34" charset="0"/>
            <a:ea typeface="+mn-ea"/>
            <a:cs typeface="Arial"/>
          </a:endParaRPr>
        </a:p>
      </xdr:txBody>
    </xdr:sp>
    <xdr:clientData/>
  </xdr:twoCellAnchor>
  <xdr:twoCellAnchor>
    <xdr:from>
      <xdr:col>2</xdr:col>
      <xdr:colOff>190500</xdr:colOff>
      <xdr:row>17</xdr:row>
      <xdr:rowOff>57151</xdr:rowOff>
    </xdr:from>
    <xdr:to>
      <xdr:col>3</xdr:col>
      <xdr:colOff>457200</xdr:colOff>
      <xdr:row>18</xdr:row>
      <xdr:rowOff>142876</xdr:rowOff>
    </xdr:to>
    <xdr:sp macro="" textlink="">
      <xdr:nvSpPr>
        <xdr:cNvPr id="11" name="TextBox 10">
          <a:extLst>
            <a:ext uri="{FF2B5EF4-FFF2-40B4-BE49-F238E27FC236}">
              <a16:creationId xmlns:a16="http://schemas.microsoft.com/office/drawing/2014/main" id="{586FB69C-B7E1-490D-9CB6-2E7CD917B8D7}"/>
            </a:ext>
          </a:extLst>
        </xdr:cNvPr>
        <xdr:cNvSpPr txBox="1"/>
      </xdr:nvSpPr>
      <xdr:spPr>
        <a:xfrm>
          <a:off x="495300" y="3133726"/>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chemeClr val="accent6">
                  <a:lumMod val="20000"/>
                  <a:lumOff val="80000"/>
                </a:schemeClr>
              </a:solidFill>
              <a:latin typeface="Arial Black" panose="020B0A04020102020204" pitchFamily="34" charset="0"/>
            </a:rPr>
            <a:t>Duration</a:t>
          </a:r>
        </a:p>
      </xdr:txBody>
    </xdr:sp>
    <xdr:clientData/>
  </xdr:twoCellAnchor>
  <xdr:twoCellAnchor editAs="oneCell">
    <xdr:from>
      <xdr:col>2</xdr:col>
      <xdr:colOff>44823</xdr:colOff>
      <xdr:row>17</xdr:row>
      <xdr:rowOff>77684</xdr:rowOff>
    </xdr:from>
    <xdr:to>
      <xdr:col>2</xdr:col>
      <xdr:colOff>235793</xdr:colOff>
      <xdr:row>18</xdr:row>
      <xdr:rowOff>78153</xdr:rowOff>
    </xdr:to>
    <xdr:pic>
      <xdr:nvPicPr>
        <xdr:cNvPr id="12" name="Graphic 11">
          <a:extLst>
            <a:ext uri="{FF2B5EF4-FFF2-40B4-BE49-F238E27FC236}">
              <a16:creationId xmlns:a16="http://schemas.microsoft.com/office/drawing/2014/main" id="{7DCA8707-CD91-4561-82C8-6A99C6D8480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58588" y="3125684"/>
          <a:ext cx="190970" cy="190970"/>
        </a:xfrm>
        <a:prstGeom prst="rect">
          <a:avLst/>
        </a:prstGeom>
      </xdr:spPr>
    </xdr:pic>
    <xdr:clientData/>
  </xdr:twoCellAnchor>
  <xdr:twoCellAnchor>
    <xdr:from>
      <xdr:col>2</xdr:col>
      <xdr:colOff>276225</xdr:colOff>
      <xdr:row>20</xdr:row>
      <xdr:rowOff>123826</xdr:rowOff>
    </xdr:from>
    <xdr:to>
      <xdr:col>3</xdr:col>
      <xdr:colOff>361950</xdr:colOff>
      <xdr:row>21</xdr:row>
      <xdr:rowOff>114301</xdr:rowOff>
    </xdr:to>
    <xdr:sp macro="" textlink="Pivots!C10">
      <xdr:nvSpPr>
        <xdr:cNvPr id="13" name="TextBox 12">
          <a:extLst>
            <a:ext uri="{FF2B5EF4-FFF2-40B4-BE49-F238E27FC236}">
              <a16:creationId xmlns:a16="http://schemas.microsoft.com/office/drawing/2014/main" id="{E2EAE0F9-A5F1-4AA4-9FB2-E6ED1A849356}"/>
            </a:ext>
          </a:extLst>
        </xdr:cNvPr>
        <xdr:cNvSpPr txBox="1"/>
      </xdr:nvSpPr>
      <xdr:spPr>
        <a:xfrm>
          <a:off x="581025" y="3743326"/>
          <a:ext cx="7715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4B2852-BF65-4682-9AD0-2B13126E67F3}" type="TxLink">
            <a:rPr lang="en-US" sz="1100" b="0" i="0" u="none" strike="noStrike">
              <a:solidFill>
                <a:schemeClr val="accent6">
                  <a:lumMod val="20000"/>
                  <a:lumOff val="80000"/>
                </a:schemeClr>
              </a:solidFill>
              <a:latin typeface="Arial"/>
              <a:cs typeface="Arial"/>
            </a:rPr>
            <a:pPr algn="ctr"/>
            <a:t>17,700</a:t>
          </a:fld>
          <a:endParaRPr lang="en-US" sz="900">
            <a:solidFill>
              <a:schemeClr val="accent6">
                <a:lumMod val="20000"/>
                <a:lumOff val="80000"/>
              </a:schemeClr>
            </a:solidFill>
          </a:endParaRPr>
        </a:p>
      </xdr:txBody>
    </xdr:sp>
    <xdr:clientData/>
  </xdr:twoCellAnchor>
  <xdr:twoCellAnchor>
    <xdr:from>
      <xdr:col>2</xdr:col>
      <xdr:colOff>0</xdr:colOff>
      <xdr:row>24</xdr:row>
      <xdr:rowOff>0</xdr:rowOff>
    </xdr:from>
    <xdr:to>
      <xdr:col>4</xdr:col>
      <xdr:colOff>0</xdr:colOff>
      <xdr:row>29</xdr:row>
      <xdr:rowOff>0</xdr:rowOff>
    </xdr:to>
    <xdr:sp macro="" textlink="Pivots!D4">
      <xdr:nvSpPr>
        <xdr:cNvPr id="14" name="Rectangle 13">
          <a:extLst>
            <a:ext uri="{FF2B5EF4-FFF2-40B4-BE49-F238E27FC236}">
              <a16:creationId xmlns:a16="http://schemas.microsoft.com/office/drawing/2014/main" id="{C5CC134D-16C0-4E90-8A33-28566818C582}"/>
            </a:ext>
          </a:extLst>
        </xdr:cNvPr>
        <xdr:cNvSpPr/>
      </xdr:nvSpPr>
      <xdr:spPr>
        <a:xfrm>
          <a:off x="304800" y="4343400"/>
          <a:ext cx="1371600" cy="904875"/>
        </a:xfrm>
        <a:prstGeom prst="rect">
          <a:avLst/>
        </a:prstGeom>
        <a:solidFill>
          <a:schemeClr val="accent6"/>
        </a:solidFill>
        <a:ln>
          <a:noFill/>
        </a:ln>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EAEFE6B-7C0A-4D52-A009-E9DA9A13188B}" type="TxLink">
            <a:rPr lang="en-US" sz="2400" b="0" i="0" u="none" strike="noStrike">
              <a:ln>
                <a:noFill/>
              </a:ln>
              <a:solidFill>
                <a:schemeClr val="bg1">
                  <a:lumMod val="95000"/>
                </a:schemeClr>
              </a:solidFill>
              <a:effectLst>
                <a:outerShdw blurRad="50800" dist="38100" dir="2700000" algn="tl" rotWithShape="0">
                  <a:prstClr val="black">
                    <a:alpha val="40000"/>
                  </a:prstClr>
                </a:outerShdw>
              </a:effectLst>
              <a:latin typeface="Franklin Gothic Heavy" panose="020B0903020102020204" pitchFamily="34" charset="0"/>
              <a:ea typeface="+mn-ea"/>
              <a:cs typeface="Arial"/>
            </a:rPr>
            <a:pPr marL="0" indent="0" algn="ctr"/>
            <a:t>3.9</a:t>
          </a:fld>
          <a:endParaRPr lang="en-US" sz="2400" b="0" i="0" u="none" strike="noStrike">
            <a:ln>
              <a:noFill/>
            </a:ln>
            <a:solidFill>
              <a:schemeClr val="bg1">
                <a:lumMod val="95000"/>
              </a:schemeClr>
            </a:solidFill>
            <a:effectLst>
              <a:outerShdw blurRad="50800" dist="38100" dir="2700000" algn="tl" rotWithShape="0">
                <a:prstClr val="black">
                  <a:alpha val="40000"/>
                </a:prstClr>
              </a:outerShdw>
            </a:effectLst>
            <a:latin typeface="Franklin Gothic Heavy" panose="020B0903020102020204" pitchFamily="34" charset="0"/>
            <a:ea typeface="+mn-ea"/>
            <a:cs typeface="Arial"/>
          </a:endParaRPr>
        </a:p>
      </xdr:txBody>
    </xdr:sp>
    <xdr:clientData/>
  </xdr:twoCellAnchor>
  <xdr:twoCellAnchor>
    <xdr:from>
      <xdr:col>2</xdr:col>
      <xdr:colOff>190500</xdr:colOff>
      <xdr:row>24</xdr:row>
      <xdr:rowOff>57151</xdr:rowOff>
    </xdr:from>
    <xdr:to>
      <xdr:col>3</xdr:col>
      <xdr:colOff>457200</xdr:colOff>
      <xdr:row>25</xdr:row>
      <xdr:rowOff>142876</xdr:rowOff>
    </xdr:to>
    <xdr:sp macro="" textlink="">
      <xdr:nvSpPr>
        <xdr:cNvPr id="15" name="TextBox 14">
          <a:extLst>
            <a:ext uri="{FF2B5EF4-FFF2-40B4-BE49-F238E27FC236}">
              <a16:creationId xmlns:a16="http://schemas.microsoft.com/office/drawing/2014/main" id="{327927C8-9328-448E-8385-C9681E1AF47F}"/>
            </a:ext>
          </a:extLst>
        </xdr:cNvPr>
        <xdr:cNvSpPr txBox="1"/>
      </xdr:nvSpPr>
      <xdr:spPr>
        <a:xfrm>
          <a:off x="495300" y="4400551"/>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chemeClr val="accent6">
                  <a:lumMod val="20000"/>
                  <a:lumOff val="80000"/>
                </a:schemeClr>
              </a:solidFill>
              <a:latin typeface="Arial Black" panose="020B0A04020102020204" pitchFamily="34" charset="0"/>
            </a:rPr>
            <a:t>Avg Rating</a:t>
          </a:r>
        </a:p>
      </xdr:txBody>
    </xdr:sp>
    <xdr:clientData/>
  </xdr:twoCellAnchor>
  <xdr:twoCellAnchor editAs="oneCell">
    <xdr:from>
      <xdr:col>2</xdr:col>
      <xdr:colOff>46015</xdr:colOff>
      <xdr:row>24</xdr:row>
      <xdr:rowOff>67670</xdr:rowOff>
    </xdr:from>
    <xdr:to>
      <xdr:col>2</xdr:col>
      <xdr:colOff>280617</xdr:colOff>
      <xdr:row>25</xdr:row>
      <xdr:rowOff>122978</xdr:rowOff>
    </xdr:to>
    <xdr:pic>
      <xdr:nvPicPr>
        <xdr:cNvPr id="16" name="Graphic 15">
          <a:extLst>
            <a:ext uri="{FF2B5EF4-FFF2-40B4-BE49-F238E27FC236}">
              <a16:creationId xmlns:a16="http://schemas.microsoft.com/office/drawing/2014/main" id="{18281B49-ACBC-46B0-8983-4D21365310A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59780" y="4370729"/>
          <a:ext cx="234602" cy="234602"/>
        </a:xfrm>
        <a:prstGeom prst="rect">
          <a:avLst/>
        </a:prstGeom>
      </xdr:spPr>
    </xdr:pic>
    <xdr:clientData/>
  </xdr:twoCellAnchor>
  <xdr:twoCellAnchor>
    <xdr:from>
      <xdr:col>2</xdr:col>
      <xdr:colOff>276225</xdr:colOff>
      <xdr:row>27</xdr:row>
      <xdr:rowOff>123826</xdr:rowOff>
    </xdr:from>
    <xdr:to>
      <xdr:col>3</xdr:col>
      <xdr:colOff>361950</xdr:colOff>
      <xdr:row>28</xdr:row>
      <xdr:rowOff>114301</xdr:rowOff>
    </xdr:to>
    <xdr:sp macro="" textlink="Pivots!D10">
      <xdr:nvSpPr>
        <xdr:cNvPr id="17" name="TextBox 16">
          <a:extLst>
            <a:ext uri="{FF2B5EF4-FFF2-40B4-BE49-F238E27FC236}">
              <a16:creationId xmlns:a16="http://schemas.microsoft.com/office/drawing/2014/main" id="{B9058146-3F72-4E65-BFCB-7841A5E5E1C8}"/>
            </a:ext>
          </a:extLst>
        </xdr:cNvPr>
        <xdr:cNvSpPr txBox="1"/>
      </xdr:nvSpPr>
      <xdr:spPr>
        <a:xfrm>
          <a:off x="581025" y="5010151"/>
          <a:ext cx="7715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9767F1-912F-4C95-9281-12EE5DCEC9FF}" type="TxLink">
            <a:rPr lang="en-US" sz="1100" b="0" i="0" u="none" strike="noStrike">
              <a:solidFill>
                <a:schemeClr val="accent6">
                  <a:lumMod val="20000"/>
                  <a:lumOff val="80000"/>
                </a:schemeClr>
              </a:solidFill>
              <a:latin typeface="Arial"/>
              <a:cs typeface="Arial"/>
            </a:rPr>
            <a:pPr algn="ctr"/>
            <a:t>3.9</a:t>
          </a:fld>
          <a:endParaRPr lang="en-US" sz="900">
            <a:solidFill>
              <a:schemeClr val="accent6">
                <a:lumMod val="20000"/>
                <a:lumOff val="80000"/>
              </a:schemeClr>
            </a:solidFill>
          </a:endParaRPr>
        </a:p>
      </xdr:txBody>
    </xdr:sp>
    <xdr:clientData/>
  </xdr:twoCellAnchor>
  <xdr:twoCellAnchor>
    <xdr:from>
      <xdr:col>2</xdr:col>
      <xdr:colOff>0</xdr:colOff>
      <xdr:row>31</xdr:row>
      <xdr:rowOff>0</xdr:rowOff>
    </xdr:from>
    <xdr:to>
      <xdr:col>4</xdr:col>
      <xdr:colOff>0</xdr:colOff>
      <xdr:row>36</xdr:row>
      <xdr:rowOff>0</xdr:rowOff>
    </xdr:to>
    <xdr:sp macro="" textlink="Pivots!E4">
      <xdr:nvSpPr>
        <xdr:cNvPr id="18" name="Rectangle 17">
          <a:extLst>
            <a:ext uri="{FF2B5EF4-FFF2-40B4-BE49-F238E27FC236}">
              <a16:creationId xmlns:a16="http://schemas.microsoft.com/office/drawing/2014/main" id="{D8614CDA-C55D-495C-90A0-339BE646FA16}"/>
            </a:ext>
          </a:extLst>
        </xdr:cNvPr>
        <xdr:cNvSpPr/>
      </xdr:nvSpPr>
      <xdr:spPr>
        <a:xfrm>
          <a:off x="304800" y="5610225"/>
          <a:ext cx="1371600" cy="904875"/>
        </a:xfrm>
        <a:prstGeom prst="rect">
          <a:avLst/>
        </a:prstGeom>
        <a:solidFill>
          <a:schemeClr val="accent6"/>
        </a:solidFill>
        <a:ln>
          <a:noFill/>
        </a:ln>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2B7732E-D417-4BA3-9D20-655F313668E1}" type="TxLink">
            <a:rPr lang="en-US" sz="2400" b="0" i="0" u="none" strike="noStrike">
              <a:ln>
                <a:noFill/>
              </a:ln>
              <a:solidFill>
                <a:schemeClr val="bg1">
                  <a:lumMod val="95000"/>
                </a:schemeClr>
              </a:solidFill>
              <a:effectLst>
                <a:outerShdw blurRad="50800" dist="38100" dir="2700000" algn="tl" rotWithShape="0">
                  <a:prstClr val="black">
                    <a:alpha val="40000"/>
                  </a:prstClr>
                </a:outerShdw>
              </a:effectLst>
              <a:latin typeface="Franklin Gothic Heavy" panose="020B0903020102020204" pitchFamily="34" charset="0"/>
              <a:ea typeface="+mn-ea"/>
              <a:cs typeface="Arial"/>
            </a:rPr>
            <a:pPr marL="0" indent="0" algn="ctr"/>
            <a:t>307</a:t>
          </a:fld>
          <a:endParaRPr lang="en-US" sz="2400" b="0" i="0" u="none" strike="noStrike">
            <a:ln>
              <a:noFill/>
            </a:ln>
            <a:solidFill>
              <a:schemeClr val="bg1">
                <a:lumMod val="95000"/>
              </a:schemeClr>
            </a:solidFill>
            <a:effectLst>
              <a:outerShdw blurRad="50800" dist="38100" dir="2700000" algn="tl" rotWithShape="0">
                <a:prstClr val="black">
                  <a:alpha val="40000"/>
                </a:prstClr>
              </a:outerShdw>
            </a:effectLst>
            <a:latin typeface="Franklin Gothic Heavy" panose="020B0903020102020204" pitchFamily="34" charset="0"/>
            <a:ea typeface="+mn-ea"/>
            <a:cs typeface="Arial"/>
          </a:endParaRPr>
        </a:p>
      </xdr:txBody>
    </xdr:sp>
    <xdr:clientData/>
  </xdr:twoCellAnchor>
  <xdr:twoCellAnchor>
    <xdr:from>
      <xdr:col>2</xdr:col>
      <xdr:colOff>190500</xdr:colOff>
      <xdr:row>31</xdr:row>
      <xdr:rowOff>57151</xdr:rowOff>
    </xdr:from>
    <xdr:to>
      <xdr:col>3</xdr:col>
      <xdr:colOff>593911</xdr:colOff>
      <xdr:row>32</xdr:row>
      <xdr:rowOff>145676</xdr:rowOff>
    </xdr:to>
    <xdr:sp macro="" textlink="">
      <xdr:nvSpPr>
        <xdr:cNvPr id="19" name="TextBox 18">
          <a:extLst>
            <a:ext uri="{FF2B5EF4-FFF2-40B4-BE49-F238E27FC236}">
              <a16:creationId xmlns:a16="http://schemas.microsoft.com/office/drawing/2014/main" id="{92AEBC98-4784-4E2F-9E78-FD4545F112A4}"/>
            </a:ext>
          </a:extLst>
        </xdr:cNvPr>
        <xdr:cNvSpPr txBox="1"/>
      </xdr:nvSpPr>
      <xdr:spPr>
        <a:xfrm>
          <a:off x="504265" y="5615269"/>
          <a:ext cx="1086970" cy="267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chemeClr val="accent6">
                  <a:lumMod val="20000"/>
                  <a:lumOff val="80000"/>
                </a:schemeClr>
              </a:solidFill>
              <a:latin typeface="Arial Black" panose="020B0A04020102020204" pitchFamily="34" charset="0"/>
            </a:rPr>
            <a:t>Happy Callers</a:t>
          </a:r>
        </a:p>
      </xdr:txBody>
    </xdr:sp>
    <xdr:clientData/>
  </xdr:twoCellAnchor>
  <xdr:twoCellAnchor editAs="oneCell">
    <xdr:from>
      <xdr:col>2</xdr:col>
      <xdr:colOff>23603</xdr:colOff>
      <xdr:row>31</xdr:row>
      <xdr:rowOff>67670</xdr:rowOff>
    </xdr:from>
    <xdr:to>
      <xdr:col>2</xdr:col>
      <xdr:colOff>258205</xdr:colOff>
      <xdr:row>32</xdr:row>
      <xdr:rowOff>122978</xdr:rowOff>
    </xdr:to>
    <xdr:pic>
      <xdr:nvPicPr>
        <xdr:cNvPr id="20" name="Graphic 19">
          <a:extLst>
            <a:ext uri="{FF2B5EF4-FFF2-40B4-BE49-F238E27FC236}">
              <a16:creationId xmlns:a16="http://schemas.microsoft.com/office/drawing/2014/main" id="{F0E55551-41F7-417A-AF29-DDC3B81558A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37368" y="5625788"/>
          <a:ext cx="234602" cy="234602"/>
        </a:xfrm>
        <a:prstGeom prst="rect">
          <a:avLst/>
        </a:prstGeom>
      </xdr:spPr>
    </xdr:pic>
    <xdr:clientData/>
  </xdr:twoCellAnchor>
  <xdr:twoCellAnchor>
    <xdr:from>
      <xdr:col>2</xdr:col>
      <xdr:colOff>276225</xdr:colOff>
      <xdr:row>34</xdr:row>
      <xdr:rowOff>123826</xdr:rowOff>
    </xdr:from>
    <xdr:to>
      <xdr:col>3</xdr:col>
      <xdr:colOff>361950</xdr:colOff>
      <xdr:row>35</xdr:row>
      <xdr:rowOff>114301</xdr:rowOff>
    </xdr:to>
    <xdr:sp macro="" textlink="Pivots!E10">
      <xdr:nvSpPr>
        <xdr:cNvPr id="21" name="TextBox 20">
          <a:extLst>
            <a:ext uri="{FF2B5EF4-FFF2-40B4-BE49-F238E27FC236}">
              <a16:creationId xmlns:a16="http://schemas.microsoft.com/office/drawing/2014/main" id="{0291140D-F594-4CA1-BE1D-476F20B1692A}"/>
            </a:ext>
          </a:extLst>
        </xdr:cNvPr>
        <xdr:cNvSpPr txBox="1"/>
      </xdr:nvSpPr>
      <xdr:spPr>
        <a:xfrm>
          <a:off x="581025" y="6276976"/>
          <a:ext cx="7715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80DE83-1EE7-4B1F-ABE0-D8BA7D1DE0AE}" type="TxLink">
            <a:rPr lang="en-US" sz="1100" b="0" i="0" u="none" strike="noStrike">
              <a:solidFill>
                <a:schemeClr val="accent6">
                  <a:lumMod val="20000"/>
                  <a:lumOff val="80000"/>
                </a:schemeClr>
              </a:solidFill>
              <a:latin typeface="Arial"/>
              <a:cs typeface="Arial"/>
            </a:rPr>
            <a:pPr algn="ctr"/>
            <a:t>60</a:t>
          </a:fld>
          <a:endParaRPr lang="en-US" sz="900">
            <a:solidFill>
              <a:schemeClr val="accent6">
                <a:lumMod val="20000"/>
                <a:lumOff val="80000"/>
              </a:schemeClr>
            </a:solidFill>
          </a:endParaRPr>
        </a:p>
      </xdr:txBody>
    </xdr:sp>
    <xdr:clientData/>
  </xdr:twoCellAnchor>
  <xdr:twoCellAnchor>
    <xdr:from>
      <xdr:col>11</xdr:col>
      <xdr:colOff>190500</xdr:colOff>
      <xdr:row>4</xdr:row>
      <xdr:rowOff>67236</xdr:rowOff>
    </xdr:from>
    <xdr:to>
      <xdr:col>13</xdr:col>
      <xdr:colOff>347382</xdr:colOff>
      <xdr:row>13</xdr:row>
      <xdr:rowOff>156882</xdr:rowOff>
    </xdr:to>
    <xdr:graphicFrame macro="">
      <xdr:nvGraphicFramePr>
        <xdr:cNvPr id="24" name="Chart 23">
          <a:extLst>
            <a:ext uri="{FF2B5EF4-FFF2-40B4-BE49-F238E27FC236}">
              <a16:creationId xmlns:a16="http://schemas.microsoft.com/office/drawing/2014/main" id="{EBACE87E-4A41-454C-B45B-A1810BC34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0</xdr:colOff>
      <xdr:row>3</xdr:row>
      <xdr:rowOff>0</xdr:rowOff>
    </xdr:from>
    <xdr:to>
      <xdr:col>11</xdr:col>
      <xdr:colOff>280147</xdr:colOff>
      <xdr:row>15</xdr:row>
      <xdr:rowOff>67235</xdr:rowOff>
    </xdr:to>
    <xdr:graphicFrame macro="">
      <xdr:nvGraphicFramePr>
        <xdr:cNvPr id="23" name="Chart 22">
          <a:extLst>
            <a:ext uri="{FF2B5EF4-FFF2-40B4-BE49-F238E27FC236}">
              <a16:creationId xmlns:a16="http://schemas.microsoft.com/office/drawing/2014/main" id="{B9FAFF42-D145-4496-9311-1EC31292C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0</xdr:colOff>
      <xdr:row>17</xdr:row>
      <xdr:rowOff>0</xdr:rowOff>
    </xdr:from>
    <xdr:to>
      <xdr:col>8</xdr:col>
      <xdr:colOff>616324</xdr:colOff>
      <xdr:row>35</xdr:row>
      <xdr:rowOff>168088</xdr:rowOff>
    </xdr:to>
    <xdr:graphicFrame macro="">
      <xdr:nvGraphicFramePr>
        <xdr:cNvPr id="25" name="Chart 24">
          <a:extLst>
            <a:ext uri="{FF2B5EF4-FFF2-40B4-BE49-F238E27FC236}">
              <a16:creationId xmlns:a16="http://schemas.microsoft.com/office/drawing/2014/main" id="{372987AD-77D1-4C10-B098-A752301B2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498102</xdr:colOff>
      <xdr:row>17</xdr:row>
      <xdr:rowOff>0</xdr:rowOff>
    </xdr:from>
    <xdr:to>
      <xdr:col>11</xdr:col>
      <xdr:colOff>560294</xdr:colOff>
      <xdr:row>35</xdr:row>
      <xdr:rowOff>168088</xdr:rowOff>
    </xdr:to>
    <xdr:graphicFrame macro="">
      <xdr:nvGraphicFramePr>
        <xdr:cNvPr id="26" name="Chart 25">
          <a:extLst>
            <a:ext uri="{FF2B5EF4-FFF2-40B4-BE49-F238E27FC236}">
              <a16:creationId xmlns:a16="http://schemas.microsoft.com/office/drawing/2014/main" id="{8C13E883-0545-4797-8468-814445A70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3</xdr:row>
      <xdr:rowOff>0</xdr:rowOff>
    </xdr:from>
    <xdr:to>
      <xdr:col>18</xdr:col>
      <xdr:colOff>33618</xdr:colOff>
      <xdr:row>15</xdr:row>
      <xdr:rowOff>100853</xdr:rowOff>
    </xdr:to>
    <xdr:graphicFrame macro="">
      <xdr:nvGraphicFramePr>
        <xdr:cNvPr id="28" name="Chart 27">
          <a:extLst>
            <a:ext uri="{FF2B5EF4-FFF2-40B4-BE49-F238E27FC236}">
              <a16:creationId xmlns:a16="http://schemas.microsoft.com/office/drawing/2014/main" id="{4470C526-4AD0-4747-9B66-9E1412168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156882</xdr:colOff>
      <xdr:row>3</xdr:row>
      <xdr:rowOff>0</xdr:rowOff>
    </xdr:from>
    <xdr:to>
      <xdr:col>21</xdr:col>
      <xdr:colOff>649941</xdr:colOff>
      <xdr:row>15</xdr:row>
      <xdr:rowOff>89647</xdr:rowOff>
    </xdr:to>
    <xdr:graphicFrame macro="">
      <xdr:nvGraphicFramePr>
        <xdr:cNvPr id="29" name="Chart 28">
          <a:extLst>
            <a:ext uri="{FF2B5EF4-FFF2-40B4-BE49-F238E27FC236}">
              <a16:creationId xmlns:a16="http://schemas.microsoft.com/office/drawing/2014/main" id="{55DBA5CF-FB3F-42E7-BBC4-40AB529BB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eer Hamza" refreshedDate="45749.539647337966" backgroundQuery="1" createdVersion="8" refreshedVersion="8" minRefreshableVersion="3" recordCount="0" supportSubquery="1" supportAdvancedDrill="1" xr:uid="{D8BDA1E0-DF2A-4B76-B589-9D2D4039F080}">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of Call number]" caption="Count of Call number" numFmtId="0" hierarchy="25"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eer Hamza" refreshedDate="45741.057807754631" backgroundQuery="1" createdVersion="8" refreshedVersion="8" minRefreshableVersion="3" recordCount="0" supportSubquery="1" supportAdvancedDrill="1" xr:uid="{0B897006-B095-41F1-9921-26A0B38E624B}">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eer Hamza" refreshedDate="45741.084421874999" backgroundQuery="1" createdVersion="8" refreshedVersion="8" minRefreshableVersion="3" recordCount="0" supportSubquery="1" supportAdvancedDrill="1" xr:uid="{4A3F3660-27BE-4988-8A2A-8D89D4A8C205}">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eer Hamza" refreshedDate="45749.559848611112" backgroundQuery="1" createdVersion="8" refreshedVersion="8" minRefreshableVersion="3" recordCount="0" supportSubquery="1" supportAdvancedDrill="1" xr:uid="{1D7A022B-E590-498D-9D77-F0BE35681F39}">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eer Hamza" refreshedDate="45749.574132407404" backgroundQuery="1" createdVersion="8" refreshedVersion="8" minRefreshableVersion="3" recordCount="0" supportSubquery="1" supportAdvancedDrill="1" xr:uid="{BF34CF18-48F8-4903-9EC4-B33EBA22E9AF}">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eer Hamza" refreshedDate="45749.574133333335" backgroundQuery="1" createdVersion="8" refreshedVersion="8" minRefreshableVersion="3" recordCount="0" supportSubquery="1" supportAdvancedDrill="1" xr:uid="{588ED4F5-AB5C-4F43-B913-5A18F91B93B7}">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eer Hamza" refreshedDate="45749.574133912036" backgroundQuery="1" createdVersion="8" refreshedVersion="8" minRefreshableVersion="3" recordCount="0" supportSubquery="1" supportAdvancedDrill="1" xr:uid="{6048D260-84DB-4D01-B23E-620B71F171EC}">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eer Hamza" refreshedDate="45749.574134490744" backgroundQuery="1" createdVersion="8" refreshedVersion="8" minRefreshableVersion="3" recordCount="0" supportSubquery="1" supportAdvancedDrill="1" xr:uid="{272D1388-E319-4474-B685-3FF3D6B31DC4}">
  <cacheSource type="external" connectionId="1"/>
  <cacheFields count="1">
    <cacheField name="[calls].[Representative].[Representative]" caption="Representative" numFmtId="0" hierarchy="3"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eer Hamza" refreshedDate="45749.574135416668" backgroundQuery="1" createdVersion="8" refreshedVersion="8" minRefreshableVersion="3" recordCount="0" supportSubquery="1" supportAdvancedDrill="1" xr:uid="{41903AD5-EFD6-4D64-A313-FE7DD836A123}">
  <cacheSource type="external" connectionId="1"/>
  <cacheFields count="3">
    <cacheField name="[Measures].[Count of Call number]" caption="Count of Call number" numFmtId="0" hierarchy="25"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eer Hamza" refreshedDate="45741.057802083335" backgroundQuery="1" createdVersion="3" refreshedVersion="8" minRefreshableVersion="3" recordCount="0" supportSubquery="1" supportAdvancedDrill="1" xr:uid="{DCED58FD-2637-48B6-A78C-5B3FEE3F3020}">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202949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B900B4-212D-4F03-9A46-15A84290BE78}" name="rep amount" cacheId="23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80:G99"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22A953-AEEB-4197-8EBC-4FA0D37354F2}" name="rep satisfaction" cacheId="3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71:B78" firstHeaderRow="1" firstDataRow="1" firstDataCol="1"/>
  <pivotFields count="3">
    <pivotField dataField="1" subtotalTop="0" showAll="0" defaultSubtotal="0"/>
    <pivotField axis="axisRow" allDrilled="1" subtotalTop="0" showAll="0" defaultSubtotal="0" defaultAttributeDrillState="1">
      <items count="6">
        <item x="2"/>
        <item x="3"/>
        <item x="4"/>
        <item x="5"/>
        <item x="1"/>
        <item x="0"/>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Call number" fld="0" subtotal="count" baseField="0" baseItem="0"/>
  </dataFields>
  <chartFormats count="3">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55CE74-A5D5-4245-A9A0-B72B8AA02D61}" name="PivotTable1" cacheId="2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0:D6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3E04FD-E025-47A0-A5F2-202443448AB6}" name="selected rep" cacheId="38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0:A51"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3">
      <pivotArea dataOnly="0"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840603-BB59-4A7A-B8F4-F65C071D812C}" name="summary pivot"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31EC75-71EA-4505-ADC6-6C2B55495C7B}" name="reps pivot" cacheId="2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0:C4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4EF0D4-D6B4-4DED-BBED-51F6376AFA07}" name="weekday trend" cacheId="3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F20:G28"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C397E7-BB3F-4F8B-AFA1-FEA25217E3BC}" name="monthly trend" cacheId="3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20:C3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7C3077-98B6-4E66-9AF4-67FDA7F8EB0E}" name="rep pivot" cacheId="3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1CD6DC03-C2CF-4D5D-880A-A06254871F20}" sourceName="[calls].[Representative]">
  <pivotTables>
    <pivotTable tabId="6" name="rep pivot"/>
    <pivotTable tabId="6" name="monthly trend"/>
    <pivotTable tabId="6" name="weekday trend"/>
    <pivotTable tabId="6" name="selected rep"/>
    <pivotTable tabId="6" name="rep satisfaction"/>
  </pivotTables>
  <data>
    <olap pivotCacheId="62029490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B903835-15C5-4F74-89F6-55DC3D6A51B0}" cache="Slicer_Representative" caption="Representativ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C9253BE3-96C5-4286-841C-92C9D6689660}" cache="Slicer_Representative" caption="Representative" level="1" style="SlicerStyleDark5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4"/>
    <tableColumn id="5" xr3:uid="{5A35565E-8707-4DED-AD15-A0669D67B382}" name="Date of Call" dataDxfId="33"/>
    <tableColumn id="6" xr3:uid="{F2E4F158-B41F-47BC-8DF8-DFCADFEE4E40}" name="Purchase Amount"/>
    <tableColumn id="7" xr3:uid="{04B291B5-47BD-4F78-8FD8-D1551CCA6BD9}" name="Satisfaction Rating"/>
    <tableColumn id="8" xr3:uid="{6E4123C0-0B17-43B8-A142-A1E540CE974C}" name="FY" dataDxfId="32">
      <calculatedColumnFormula>IF(MONTH(calls[[#This Row],[Date of Call]])&lt;=6, YEAR(calls[[#This Row],[Date of Call]]), YEAR(calls[[#This Row],[Date of Call]])+1)</calculatedColumnFormula>
    </tableColumn>
    <tableColumn id="9" xr3:uid="{199FA271-5E9B-46CE-9BC6-2801F92CD17E}" name="Day of week" dataDxfId="31">
      <calculatedColumnFormula>TEXT(calls[[#This Row],[Date of Call]],"DDDD")</calculatedColumnFormula>
    </tableColumn>
    <tableColumn id="10" xr3:uid="{328CDB09-95B8-4D5E-9ED9-EF0D363735A1}" name="Duration Bucket" dataDxfId="3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8" headerRowBorderDxfId="27" tableBorderDxfId="26" totalsRowBorderDxfId="25">
  <autoFilter ref="Q3:T18" xr:uid="{27158F51-A707-4171-8A04-81FB0AABCBA5}"/>
  <tableColumns count="4">
    <tableColumn id="1" xr3:uid="{02688061-6A8C-4E23-B7FF-D00CD8B58CAC}" name="Customer ID" dataDxfId="24"/>
    <tableColumn id="2" xr3:uid="{771678B6-DB44-426B-9874-B4E421A440D5}" name="Gedner" dataDxfId="23"/>
    <tableColumn id="3" xr3:uid="{B0D41C62-587E-494D-B49A-603F2C05F8D3}" name="Age" dataDxfId="22"/>
    <tableColumn id="4" xr3:uid="{663F92D6-FE31-4D81-9E01-8D066DDC8A88}" name="City" dataDxfId="2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rial Black"/>
        <a:ea typeface=""/>
        <a:cs typeface=""/>
      </a:majorFont>
      <a:minorFont>
        <a:latin typeface="Arial"/>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66A48-6223-437F-8F4B-A2FFCF961744}">
  <dimension ref="A3:J99"/>
  <sheetViews>
    <sheetView topLeftCell="A39" workbookViewId="0">
      <selection activeCell="A82" sqref="A82:G99"/>
    </sheetView>
  </sheetViews>
  <sheetFormatPr defaultRowHeight="14.25" x14ac:dyDescent="0.2"/>
  <cols>
    <col min="1" max="1" width="13.125" bestFit="1" customWidth="1"/>
    <col min="2" max="2" width="19.875" bestFit="1" customWidth="1"/>
    <col min="3" max="3" width="11.125" bestFit="1" customWidth="1"/>
    <col min="4" max="4" width="10.5" bestFit="1" customWidth="1"/>
    <col min="5" max="5" width="7.5" bestFit="1" customWidth="1"/>
    <col min="6" max="6" width="13.125" bestFit="1" customWidth="1"/>
    <col min="7" max="7" width="10.125" bestFit="1" customWidth="1"/>
    <col min="8" max="8" width="11.125" bestFit="1" customWidth="1"/>
    <col min="9" max="9" width="15.875" customWidth="1"/>
  </cols>
  <sheetData>
    <row r="3" spans="1:5" x14ac:dyDescent="0.2">
      <c r="A3" t="s">
        <v>1042</v>
      </c>
      <c r="B3" t="s">
        <v>1043</v>
      </c>
      <c r="C3" t="s">
        <v>1044</v>
      </c>
      <c r="D3" t="s">
        <v>1045</v>
      </c>
      <c r="E3" t="s">
        <v>1046</v>
      </c>
    </row>
    <row r="4" spans="1:5" x14ac:dyDescent="0.2">
      <c r="A4" s="21">
        <v>1000</v>
      </c>
      <c r="B4" s="22">
        <v>96623</v>
      </c>
      <c r="C4" s="21">
        <v>89850</v>
      </c>
      <c r="D4" s="23">
        <v>3.8854000000000033</v>
      </c>
      <c r="E4" s="21">
        <v>307</v>
      </c>
    </row>
    <row r="9" spans="1:5" x14ac:dyDescent="0.2">
      <c r="A9" t="s">
        <v>1042</v>
      </c>
      <c r="B9" t="s">
        <v>1043</v>
      </c>
      <c r="C9" t="s">
        <v>1044</v>
      </c>
      <c r="D9" t="s">
        <v>1045</v>
      </c>
      <c r="E9" t="s">
        <v>1046</v>
      </c>
    </row>
    <row r="10" spans="1:5" x14ac:dyDescent="0.2">
      <c r="A10" s="21">
        <v>207</v>
      </c>
      <c r="B10" s="22">
        <v>20872</v>
      </c>
      <c r="C10" s="21">
        <v>17700</v>
      </c>
      <c r="D10" s="23">
        <v>3.8589371980676304</v>
      </c>
      <c r="E10" s="21">
        <v>60</v>
      </c>
    </row>
    <row r="20" spans="1:7" x14ac:dyDescent="0.2">
      <c r="A20" s="24" t="s">
        <v>1047</v>
      </c>
      <c r="B20" t="s">
        <v>1042</v>
      </c>
      <c r="C20" t="s">
        <v>1061</v>
      </c>
      <c r="F20" s="24" t="s">
        <v>1047</v>
      </c>
      <c r="G20" t="s">
        <v>1042</v>
      </c>
    </row>
    <row r="21" spans="1:7" x14ac:dyDescent="0.2">
      <c r="A21" s="25" t="s">
        <v>1049</v>
      </c>
      <c r="B21" s="21">
        <v>13</v>
      </c>
      <c r="C21" s="21">
        <v>13</v>
      </c>
      <c r="F21" s="25" t="s">
        <v>1065</v>
      </c>
      <c r="G21" s="21">
        <v>30</v>
      </c>
    </row>
    <row r="22" spans="1:7" x14ac:dyDescent="0.2">
      <c r="A22" s="25" t="s">
        <v>1050</v>
      </c>
      <c r="B22" s="21">
        <v>13</v>
      </c>
      <c r="C22" s="21">
        <v>13</v>
      </c>
      <c r="F22" s="25" t="s">
        <v>1063</v>
      </c>
      <c r="G22" s="21">
        <v>34</v>
      </c>
    </row>
    <row r="23" spans="1:7" x14ac:dyDescent="0.2">
      <c r="A23" s="25" t="s">
        <v>1051</v>
      </c>
      <c r="B23" s="21">
        <v>28</v>
      </c>
      <c r="C23" s="21">
        <v>28</v>
      </c>
      <c r="F23" s="25" t="s">
        <v>1067</v>
      </c>
      <c r="G23" s="21">
        <v>26</v>
      </c>
    </row>
    <row r="24" spans="1:7" x14ac:dyDescent="0.2">
      <c r="A24" s="25" t="s">
        <v>1052</v>
      </c>
      <c r="B24" s="21">
        <v>24</v>
      </c>
      <c r="C24" s="21">
        <v>24</v>
      </c>
      <c r="F24" s="25" t="s">
        <v>1068</v>
      </c>
      <c r="G24" s="21">
        <v>38</v>
      </c>
    </row>
    <row r="25" spans="1:7" x14ac:dyDescent="0.2">
      <c r="A25" s="25" t="s">
        <v>1053</v>
      </c>
      <c r="B25" s="21">
        <v>23</v>
      </c>
      <c r="C25" s="21">
        <v>23</v>
      </c>
      <c r="F25" s="25" t="s">
        <v>1066</v>
      </c>
      <c r="G25" s="21">
        <v>27</v>
      </c>
    </row>
    <row r="26" spans="1:7" x14ac:dyDescent="0.2">
      <c r="A26" s="25" t="s">
        <v>1054</v>
      </c>
      <c r="B26" s="21">
        <v>17</v>
      </c>
      <c r="C26" s="21">
        <v>17</v>
      </c>
      <c r="F26" s="25" t="s">
        <v>1062</v>
      </c>
      <c r="G26" s="21">
        <v>27</v>
      </c>
    </row>
    <row r="27" spans="1:7" x14ac:dyDescent="0.2">
      <c r="A27" s="25" t="s">
        <v>1055</v>
      </c>
      <c r="B27" s="21">
        <v>11</v>
      </c>
      <c r="C27" s="21">
        <v>11</v>
      </c>
      <c r="F27" s="25" t="s">
        <v>1064</v>
      </c>
      <c r="G27" s="21">
        <v>25</v>
      </c>
    </row>
    <row r="28" spans="1:7" x14ac:dyDescent="0.2">
      <c r="A28" s="25" t="s">
        <v>1056</v>
      </c>
      <c r="B28" s="21">
        <v>11</v>
      </c>
      <c r="C28" s="21">
        <v>11</v>
      </c>
      <c r="F28" s="25" t="s">
        <v>1048</v>
      </c>
      <c r="G28" s="21">
        <v>207</v>
      </c>
    </row>
    <row r="29" spans="1:7" x14ac:dyDescent="0.2">
      <c r="A29" s="25" t="s">
        <v>1057</v>
      </c>
      <c r="B29" s="21">
        <v>14</v>
      </c>
      <c r="C29" s="21">
        <v>14</v>
      </c>
    </row>
    <row r="30" spans="1:7" x14ac:dyDescent="0.2">
      <c r="A30" s="25" t="s">
        <v>1058</v>
      </c>
      <c r="B30" s="21">
        <v>30</v>
      </c>
      <c r="C30" s="21">
        <v>30</v>
      </c>
    </row>
    <row r="31" spans="1:7" x14ac:dyDescent="0.2">
      <c r="A31" s="25" t="s">
        <v>1059</v>
      </c>
      <c r="B31" s="21">
        <v>14</v>
      </c>
      <c r="C31" s="21">
        <v>14</v>
      </c>
    </row>
    <row r="32" spans="1:7" x14ac:dyDescent="0.2">
      <c r="A32" s="25" t="s">
        <v>1060</v>
      </c>
      <c r="B32" s="21">
        <v>9</v>
      </c>
      <c r="C32" s="21">
        <v>9</v>
      </c>
    </row>
    <row r="33" spans="1:10" x14ac:dyDescent="0.2">
      <c r="A33" s="25" t="s">
        <v>1048</v>
      </c>
      <c r="B33" s="21">
        <v>207</v>
      </c>
      <c r="C33" s="21">
        <v>207</v>
      </c>
    </row>
    <row r="38" spans="1:10" x14ac:dyDescent="0.2">
      <c r="F38" t="s">
        <v>1069</v>
      </c>
      <c r="I38" t="s">
        <v>1075</v>
      </c>
      <c r="J38" t="str">
        <f>A51</f>
        <v>R03</v>
      </c>
    </row>
    <row r="40" spans="1:10" x14ac:dyDescent="0.2">
      <c r="A40" s="24" t="s">
        <v>1047</v>
      </c>
      <c r="B40" t="s">
        <v>1042</v>
      </c>
      <c r="C40" t="s">
        <v>1043</v>
      </c>
      <c r="F40" t="s">
        <v>1070</v>
      </c>
      <c r="G40" t="s">
        <v>1071</v>
      </c>
      <c r="H40" t="s">
        <v>1072</v>
      </c>
      <c r="I40" t="s">
        <v>1073</v>
      </c>
      <c r="J40" t="s">
        <v>1074</v>
      </c>
    </row>
    <row r="41" spans="1:10" x14ac:dyDescent="0.2">
      <c r="A41" s="25" t="s">
        <v>11</v>
      </c>
      <c r="B41" s="21">
        <v>189</v>
      </c>
      <c r="C41" s="22">
        <v>18415</v>
      </c>
      <c r="F41" t="str">
        <f>A41</f>
        <v>R01</v>
      </c>
      <c r="G41">
        <f t="shared" ref="G41:H45" si="0">B41</f>
        <v>189</v>
      </c>
      <c r="H41" s="26">
        <f t="shared" si="0"/>
        <v>18415</v>
      </c>
      <c r="I41" t="e">
        <f>IF(F41=$J$38, G41, NA())</f>
        <v>#N/A</v>
      </c>
      <c r="J41" s="26" t="e">
        <f>IF(F41=$J$38, H41, NA())</f>
        <v>#N/A</v>
      </c>
    </row>
    <row r="42" spans="1:10" x14ac:dyDescent="0.2">
      <c r="A42" s="25" t="s">
        <v>9</v>
      </c>
      <c r="B42" s="21">
        <v>218</v>
      </c>
      <c r="C42" s="22">
        <v>20581</v>
      </c>
      <c r="F42" t="str">
        <f>A42</f>
        <v>R02</v>
      </c>
      <c r="G42">
        <f t="shared" si="0"/>
        <v>218</v>
      </c>
      <c r="H42" s="26">
        <f t="shared" si="0"/>
        <v>20581</v>
      </c>
      <c r="I42" t="e">
        <f>IF(F42=$J$38, G42, NA())</f>
        <v>#N/A</v>
      </c>
      <c r="J42" s="26" t="e">
        <f>IF(F42=$J$38, H42, NA())</f>
        <v>#N/A</v>
      </c>
    </row>
    <row r="43" spans="1:10" x14ac:dyDescent="0.2">
      <c r="A43" s="25" t="s">
        <v>6</v>
      </c>
      <c r="B43" s="21">
        <v>207</v>
      </c>
      <c r="C43" s="22">
        <v>20872</v>
      </c>
      <c r="F43" t="str">
        <f>A43</f>
        <v>R03</v>
      </c>
      <c r="G43">
        <f t="shared" si="0"/>
        <v>207</v>
      </c>
      <c r="H43" s="26">
        <f t="shared" si="0"/>
        <v>20872</v>
      </c>
      <c r="I43">
        <f>IF(F43=$J$38, G43, NA())</f>
        <v>207</v>
      </c>
      <c r="J43" s="26">
        <f>IF(F43=$J$38, H43, NA())</f>
        <v>20872</v>
      </c>
    </row>
    <row r="44" spans="1:10" x14ac:dyDescent="0.2">
      <c r="A44" s="25" t="s">
        <v>13</v>
      </c>
      <c r="B44" s="21">
        <v>186</v>
      </c>
      <c r="C44" s="22">
        <v>16651</v>
      </c>
      <c r="F44" t="str">
        <f>A44</f>
        <v>R04</v>
      </c>
      <c r="G44">
        <f t="shared" si="0"/>
        <v>186</v>
      </c>
      <c r="H44" s="26">
        <f t="shared" si="0"/>
        <v>16651</v>
      </c>
      <c r="I44" t="e">
        <f>IF(F44=$J$38, G44, NA())</f>
        <v>#N/A</v>
      </c>
      <c r="J44" s="26" t="e">
        <f>IF(F44=$J$38, H44, NA())</f>
        <v>#N/A</v>
      </c>
    </row>
    <row r="45" spans="1:10" x14ac:dyDescent="0.2">
      <c r="A45" s="25" t="s">
        <v>10</v>
      </c>
      <c r="B45" s="21">
        <v>200</v>
      </c>
      <c r="C45" s="22">
        <v>20104</v>
      </c>
      <c r="F45" t="str">
        <f>A45</f>
        <v>R05</v>
      </c>
      <c r="G45">
        <f t="shared" si="0"/>
        <v>200</v>
      </c>
      <c r="H45" s="26">
        <f t="shared" si="0"/>
        <v>20104</v>
      </c>
      <c r="I45" t="e">
        <f>IF(F45=$J$38, G45, NA())</f>
        <v>#N/A</v>
      </c>
      <c r="J45" s="26" t="e">
        <f>IF(F45=$J$38, H45, NA())</f>
        <v>#N/A</v>
      </c>
    </row>
    <row r="46" spans="1:10" x14ac:dyDescent="0.2">
      <c r="A46" s="25" t="s">
        <v>1048</v>
      </c>
      <c r="B46" s="21">
        <v>1000</v>
      </c>
      <c r="C46" s="22">
        <v>96623</v>
      </c>
    </row>
    <row r="50" spans="1:4" x14ac:dyDescent="0.2">
      <c r="A50" s="24" t="s">
        <v>1047</v>
      </c>
    </row>
    <row r="51" spans="1:4" x14ac:dyDescent="0.2">
      <c r="A51" s="27" t="s">
        <v>6</v>
      </c>
    </row>
    <row r="60" spans="1:4" x14ac:dyDescent="0.2">
      <c r="A60" s="24" t="s">
        <v>1077</v>
      </c>
      <c r="B60" s="24" t="s">
        <v>1076</v>
      </c>
    </row>
    <row r="61" spans="1:4" x14ac:dyDescent="0.2">
      <c r="A61" s="24" t="s">
        <v>1047</v>
      </c>
      <c r="B61" t="s">
        <v>999</v>
      </c>
      <c r="C61" t="s">
        <v>998</v>
      </c>
      <c r="D61" t="s">
        <v>1048</v>
      </c>
    </row>
    <row r="62" spans="1:4" x14ac:dyDescent="0.2">
      <c r="A62" s="25" t="s">
        <v>1002</v>
      </c>
      <c r="B62" s="28">
        <v>144</v>
      </c>
      <c r="C62" s="28">
        <v>132</v>
      </c>
      <c r="D62" s="28">
        <v>276</v>
      </c>
    </row>
    <row r="63" spans="1:4" x14ac:dyDescent="0.2">
      <c r="A63" s="25" t="s">
        <v>1001</v>
      </c>
      <c r="B63" s="28">
        <v>326</v>
      </c>
      <c r="C63" s="28">
        <v>63</v>
      </c>
      <c r="D63" s="28">
        <v>389</v>
      </c>
    </row>
    <row r="64" spans="1:4" x14ac:dyDescent="0.2">
      <c r="A64" s="25" t="s">
        <v>1000</v>
      </c>
      <c r="B64" s="28">
        <v>129</v>
      </c>
      <c r="C64" s="28">
        <v>206</v>
      </c>
      <c r="D64" s="28">
        <v>335</v>
      </c>
    </row>
    <row r="65" spans="1:4" x14ac:dyDescent="0.2">
      <c r="A65" s="25" t="s">
        <v>1048</v>
      </c>
      <c r="B65" s="28">
        <v>599</v>
      </c>
      <c r="C65" s="28">
        <v>401</v>
      </c>
      <c r="D65" s="28">
        <v>1000</v>
      </c>
    </row>
    <row r="71" spans="1:4" x14ac:dyDescent="0.2">
      <c r="A71" s="24" t="s">
        <v>1047</v>
      </c>
      <c r="B71" t="s">
        <v>1077</v>
      </c>
    </row>
    <row r="72" spans="1:4" x14ac:dyDescent="0.2">
      <c r="A72" s="25">
        <v>2</v>
      </c>
      <c r="B72" s="28">
        <v>11</v>
      </c>
    </row>
    <row r="73" spans="1:4" x14ac:dyDescent="0.2">
      <c r="A73" s="25">
        <v>3</v>
      </c>
      <c r="B73" s="28">
        <v>46</v>
      </c>
    </row>
    <row r="74" spans="1:4" x14ac:dyDescent="0.2">
      <c r="A74" s="25">
        <v>4</v>
      </c>
      <c r="B74" s="28">
        <v>88</v>
      </c>
    </row>
    <row r="75" spans="1:4" x14ac:dyDescent="0.2">
      <c r="A75" s="25">
        <v>5</v>
      </c>
      <c r="B75" s="28">
        <v>60</v>
      </c>
    </row>
    <row r="76" spans="1:4" x14ac:dyDescent="0.2">
      <c r="A76" s="25">
        <v>1</v>
      </c>
      <c r="B76" s="28">
        <v>1</v>
      </c>
    </row>
    <row r="77" spans="1:4" x14ac:dyDescent="0.2">
      <c r="A77" s="25">
        <v>0</v>
      </c>
      <c r="B77" s="28">
        <v>1</v>
      </c>
    </row>
    <row r="78" spans="1:4" x14ac:dyDescent="0.2">
      <c r="A78" s="25" t="s">
        <v>1048</v>
      </c>
      <c r="B78" s="28">
        <v>207</v>
      </c>
    </row>
    <row r="80" spans="1:4" x14ac:dyDescent="0.2">
      <c r="A80" s="24" t="s">
        <v>1043</v>
      </c>
      <c r="B80" s="24" t="s">
        <v>1076</v>
      </c>
    </row>
    <row r="81" spans="1:7" x14ac:dyDescent="0.2">
      <c r="A81" s="24" t="s">
        <v>1047</v>
      </c>
      <c r="B81" t="s">
        <v>11</v>
      </c>
      <c r="C81" t="s">
        <v>9</v>
      </c>
      <c r="D81" t="s">
        <v>6</v>
      </c>
      <c r="E81" t="s">
        <v>13</v>
      </c>
      <c r="F81" t="s">
        <v>10</v>
      </c>
      <c r="G81" t="s">
        <v>1048</v>
      </c>
    </row>
    <row r="82" spans="1:7" x14ac:dyDescent="0.2">
      <c r="A82" s="25" t="s">
        <v>1002</v>
      </c>
      <c r="B82" s="28"/>
      <c r="C82" s="28"/>
      <c r="D82" s="28"/>
      <c r="E82" s="28"/>
      <c r="F82" s="28"/>
      <c r="G82" s="28"/>
    </row>
    <row r="83" spans="1:7" x14ac:dyDescent="0.2">
      <c r="A83" s="29" t="s">
        <v>20</v>
      </c>
      <c r="B83" s="22">
        <v>891</v>
      </c>
      <c r="C83" s="22">
        <v>1332</v>
      </c>
      <c r="D83" s="22">
        <v>1282</v>
      </c>
      <c r="E83" s="22">
        <v>739</v>
      </c>
      <c r="F83" s="22">
        <v>560</v>
      </c>
      <c r="G83" s="22">
        <v>4804</v>
      </c>
    </row>
    <row r="84" spans="1:7" x14ac:dyDescent="0.2">
      <c r="A84" s="29" t="s">
        <v>12</v>
      </c>
      <c r="B84" s="22">
        <v>1991</v>
      </c>
      <c r="C84" s="22">
        <v>1886</v>
      </c>
      <c r="D84" s="22">
        <v>1206</v>
      </c>
      <c r="E84" s="22">
        <v>884</v>
      </c>
      <c r="F84" s="22">
        <v>1722</v>
      </c>
      <c r="G84" s="22">
        <v>7689</v>
      </c>
    </row>
    <row r="85" spans="1:7" x14ac:dyDescent="0.2">
      <c r="A85" s="29" t="s">
        <v>8</v>
      </c>
      <c r="B85" s="22">
        <v>1163</v>
      </c>
      <c r="C85" s="22">
        <v>1180</v>
      </c>
      <c r="D85" s="22">
        <v>1616</v>
      </c>
      <c r="E85" s="22">
        <v>1043</v>
      </c>
      <c r="F85" s="22">
        <v>1747</v>
      </c>
      <c r="G85" s="22">
        <v>6749</v>
      </c>
    </row>
    <row r="86" spans="1:7" x14ac:dyDescent="0.2">
      <c r="A86" s="29" t="s">
        <v>16</v>
      </c>
      <c r="B86" s="22">
        <v>1438</v>
      </c>
      <c r="C86" s="22">
        <v>1616</v>
      </c>
      <c r="D86" s="22">
        <v>866</v>
      </c>
      <c r="E86" s="22">
        <v>829</v>
      </c>
      <c r="F86" s="22">
        <v>2070</v>
      </c>
      <c r="G86" s="22">
        <v>6819</v>
      </c>
    </row>
    <row r="87" spans="1:7" x14ac:dyDescent="0.2">
      <c r="A87" s="25" t="s">
        <v>1001</v>
      </c>
      <c r="B87" s="28"/>
      <c r="C87" s="28"/>
      <c r="D87" s="28"/>
      <c r="E87" s="28"/>
      <c r="F87" s="28"/>
      <c r="G87" s="28"/>
    </row>
    <row r="88" spans="1:7" x14ac:dyDescent="0.2">
      <c r="A88" s="29" t="s">
        <v>24</v>
      </c>
      <c r="B88" s="22">
        <v>1233</v>
      </c>
      <c r="C88" s="22">
        <v>223</v>
      </c>
      <c r="D88" s="22">
        <v>1680</v>
      </c>
      <c r="E88" s="22">
        <v>990</v>
      </c>
      <c r="F88" s="22">
        <v>1508</v>
      </c>
      <c r="G88" s="22">
        <v>5634</v>
      </c>
    </row>
    <row r="89" spans="1:7" x14ac:dyDescent="0.2">
      <c r="A89" s="29" t="s">
        <v>15</v>
      </c>
      <c r="B89" s="22">
        <v>1598</v>
      </c>
      <c r="C89" s="22">
        <v>1907</v>
      </c>
      <c r="D89" s="22">
        <v>869</v>
      </c>
      <c r="E89" s="22">
        <v>1426</v>
      </c>
      <c r="F89" s="22">
        <v>1416</v>
      </c>
      <c r="G89" s="22">
        <v>7216</v>
      </c>
    </row>
    <row r="90" spans="1:7" x14ac:dyDescent="0.2">
      <c r="A90" s="29" t="s">
        <v>5</v>
      </c>
      <c r="B90" s="22">
        <v>900</v>
      </c>
      <c r="C90" s="22">
        <v>1016</v>
      </c>
      <c r="D90" s="22">
        <v>960</v>
      </c>
      <c r="E90" s="22">
        <v>940</v>
      </c>
      <c r="F90" s="22">
        <v>1193</v>
      </c>
      <c r="G90" s="22">
        <v>5009</v>
      </c>
    </row>
    <row r="91" spans="1:7" x14ac:dyDescent="0.2">
      <c r="A91" s="29" t="s">
        <v>18</v>
      </c>
      <c r="B91" s="22">
        <v>900</v>
      </c>
      <c r="C91" s="22">
        <v>1470</v>
      </c>
      <c r="D91" s="22">
        <v>1617</v>
      </c>
      <c r="E91" s="22">
        <v>1314</v>
      </c>
      <c r="F91" s="22">
        <v>941</v>
      </c>
      <c r="G91" s="22">
        <v>6242</v>
      </c>
    </row>
    <row r="92" spans="1:7" x14ac:dyDescent="0.2">
      <c r="A92" s="29" t="s">
        <v>14</v>
      </c>
      <c r="B92" s="22">
        <v>1255</v>
      </c>
      <c r="C92" s="22">
        <v>516</v>
      </c>
      <c r="D92" s="22">
        <v>1874</v>
      </c>
      <c r="E92" s="22">
        <v>1863</v>
      </c>
      <c r="F92" s="22">
        <v>1722</v>
      </c>
      <c r="G92" s="22">
        <v>7230</v>
      </c>
    </row>
    <row r="93" spans="1:7" x14ac:dyDescent="0.2">
      <c r="A93" s="29" t="s">
        <v>19</v>
      </c>
      <c r="B93" s="22">
        <v>1138</v>
      </c>
      <c r="C93" s="22">
        <v>1898</v>
      </c>
      <c r="D93" s="22">
        <v>1482</v>
      </c>
      <c r="E93" s="22">
        <v>846</v>
      </c>
      <c r="F93" s="22">
        <v>1154</v>
      </c>
      <c r="G93" s="22">
        <v>6518</v>
      </c>
    </row>
    <row r="94" spans="1:7" x14ac:dyDescent="0.2">
      <c r="A94" s="25" t="s">
        <v>1000</v>
      </c>
      <c r="B94" s="28"/>
      <c r="C94" s="28"/>
      <c r="D94" s="28"/>
      <c r="E94" s="28"/>
      <c r="F94" s="28"/>
      <c r="G94" s="28"/>
    </row>
    <row r="95" spans="1:7" x14ac:dyDescent="0.2">
      <c r="A95" s="29" t="s">
        <v>17</v>
      </c>
      <c r="B95" s="22">
        <v>1655</v>
      </c>
      <c r="C95" s="22">
        <v>805</v>
      </c>
      <c r="D95" s="22">
        <v>2263</v>
      </c>
      <c r="E95" s="22">
        <v>987</v>
      </c>
      <c r="F95" s="22">
        <v>1075</v>
      </c>
      <c r="G95" s="22">
        <v>6785</v>
      </c>
    </row>
    <row r="96" spans="1:7" x14ac:dyDescent="0.2">
      <c r="A96" s="29" t="s">
        <v>23</v>
      </c>
      <c r="B96" s="22">
        <v>1104</v>
      </c>
      <c r="C96" s="22">
        <v>2280</v>
      </c>
      <c r="D96" s="22">
        <v>1445</v>
      </c>
      <c r="E96" s="22">
        <v>1722</v>
      </c>
      <c r="F96" s="22">
        <v>1196</v>
      </c>
      <c r="G96" s="22">
        <v>7747</v>
      </c>
    </row>
    <row r="97" spans="1:7" x14ac:dyDescent="0.2">
      <c r="A97" s="29" t="s">
        <v>7</v>
      </c>
      <c r="B97" s="22">
        <v>372</v>
      </c>
      <c r="C97" s="22">
        <v>1818</v>
      </c>
      <c r="D97" s="22">
        <v>1346</v>
      </c>
      <c r="E97" s="22">
        <v>1156</v>
      </c>
      <c r="F97" s="22">
        <v>1484</v>
      </c>
      <c r="G97" s="22">
        <v>6176</v>
      </c>
    </row>
    <row r="98" spans="1:7" x14ac:dyDescent="0.2">
      <c r="A98" s="29" t="s">
        <v>22</v>
      </c>
      <c r="B98" s="22">
        <v>1415</v>
      </c>
      <c r="C98" s="22">
        <v>1271</v>
      </c>
      <c r="D98" s="22">
        <v>1214</v>
      </c>
      <c r="E98" s="22">
        <v>1135</v>
      </c>
      <c r="F98" s="22">
        <v>1566</v>
      </c>
      <c r="G98" s="22">
        <v>6601</v>
      </c>
    </row>
    <row r="99" spans="1:7" x14ac:dyDescent="0.2">
      <c r="A99" s="29" t="s">
        <v>21</v>
      </c>
      <c r="B99" s="22">
        <v>1362</v>
      </c>
      <c r="C99" s="22">
        <v>1363</v>
      </c>
      <c r="D99" s="22">
        <v>1152</v>
      </c>
      <c r="E99" s="22">
        <v>777</v>
      </c>
      <c r="F99" s="22">
        <v>750</v>
      </c>
      <c r="G99" s="22">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234" zoomScale="85" zoomScaleNormal="85" workbookViewId="0">
      <selection activeCell="D9" sqref="D9"/>
    </sheetView>
  </sheetViews>
  <sheetFormatPr defaultRowHeight="14.25" x14ac:dyDescent="0.2"/>
  <cols>
    <col min="1" max="1" width="2.875" customWidth="1"/>
    <col min="2" max="2" width="14.5" customWidth="1"/>
    <col min="3" max="3" width="12.75" customWidth="1"/>
    <col min="4" max="4" width="16.5" customWidth="1"/>
    <col min="5" max="5" width="14.875" customWidth="1"/>
    <col min="6" max="6" width="16" customWidth="1"/>
    <col min="7" max="7" width="17.25" customWidth="1"/>
    <col min="8" max="8" width="18.375" customWidth="1"/>
    <col min="9" max="9" width="17.25" customWidth="1"/>
    <col min="10" max="12" width="15.375" customWidth="1"/>
    <col min="13" max="16" width="7.375" customWidth="1"/>
    <col min="17" max="17" width="14.5" customWidth="1"/>
    <col min="20" max="20" width="10.5" customWidth="1"/>
  </cols>
  <sheetData>
    <row r="1" spans="2:20" s="4" customFormat="1" ht="48" customHeight="1" x14ac:dyDescent="0.2">
      <c r="B1" s="5" t="s">
        <v>1003</v>
      </c>
    </row>
    <row r="2" spans="2:20" x14ac:dyDescent="0.2">
      <c r="R2" s="1"/>
    </row>
    <row r="3" spans="2:20" ht="15"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E16" sqref="E16"/>
    </sheetView>
  </sheetViews>
  <sheetFormatPr defaultRowHeight="14.25" x14ac:dyDescent="0.2"/>
  <cols>
    <col min="5" max="5" width="10.75" customWidth="1"/>
    <col min="6" max="6" width="9.75" customWidth="1"/>
  </cols>
  <sheetData>
    <row r="2" spans="5:6" x14ac:dyDescent="0.2">
      <c r="E2" t="s">
        <v>1040</v>
      </c>
      <c r="F2" t="s">
        <v>1041</v>
      </c>
    </row>
    <row r="3" spans="5:6" ht="25.5" customHeight="1" x14ac:dyDescent="0.2">
      <c r="E3" t="s">
        <v>11</v>
      </c>
      <c r="F3" t="e">
        <v>#VALUE!</v>
      </c>
    </row>
    <row r="4" spans="5:6" ht="25.5" customHeight="1" x14ac:dyDescent="0.2">
      <c r="E4" t="s">
        <v>9</v>
      </c>
      <c r="F4" t="e">
        <v>#VALUE!</v>
      </c>
    </row>
    <row r="5" spans="5:6" ht="25.5" customHeight="1" x14ac:dyDescent="0.2">
      <c r="E5" t="s">
        <v>6</v>
      </c>
      <c r="F5" t="e">
        <v>#VALUE!</v>
      </c>
    </row>
    <row r="6" spans="5:6" ht="25.5" customHeight="1" x14ac:dyDescent="0.2">
      <c r="E6" t="s">
        <v>13</v>
      </c>
      <c r="F6" t="e">
        <v>#VALUE!</v>
      </c>
    </row>
    <row r="7" spans="5:6" ht="25.5" customHeight="1" x14ac:dyDescent="0.2">
      <c r="E7" t="s">
        <v>10</v>
      </c>
      <c r="F7" t="e">
        <v>#VALUE!</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4FF91-D8C6-4FA4-BB89-6DAE60964021}">
  <dimension ref="A1:AE41"/>
  <sheetViews>
    <sheetView tabSelected="1" topLeftCell="B1" zoomScale="82" zoomScaleNormal="82" workbookViewId="0">
      <selection activeCell="X4" sqref="X4"/>
    </sheetView>
  </sheetViews>
  <sheetFormatPr defaultRowHeight="14.25" x14ac:dyDescent="0.2"/>
  <cols>
    <col min="1" max="2" width="2" customWidth="1"/>
    <col min="5" max="5" width="3" customWidth="1"/>
    <col min="14" max="14" width="9.5" customWidth="1"/>
    <col min="15" max="15" width="2.375" customWidth="1"/>
    <col min="16" max="16" width="13.125" customWidth="1"/>
    <col min="20" max="20" width="9" customWidth="1"/>
  </cols>
  <sheetData>
    <row r="1" spans="1:31" ht="28.5" customHeight="1" x14ac:dyDescent="0.35">
      <c r="A1" s="20"/>
      <c r="B1" s="20"/>
      <c r="C1" s="40" t="s">
        <v>1079</v>
      </c>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row>
    <row r="2" spans="1:31" x14ac:dyDescent="0.2">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row>
    <row r="3" spans="1:31" x14ac:dyDescent="0.2">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1:31" x14ac:dyDescent="0.2">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spans="1:31" x14ac:dyDescent="0.2">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spans="1:31" x14ac:dyDescent="0.2">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spans="1:31" x14ac:dyDescent="0.2">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1:31" x14ac:dyDescent="0.2">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spans="1:31" x14ac:dyDescent="0.2">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spans="1:31" x14ac:dyDescent="0.2">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spans="1:31" x14ac:dyDescent="0.2">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spans="1:31" x14ac:dyDescent="0.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spans="1:31" x14ac:dyDescent="0.2">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spans="1:31" x14ac:dyDescent="0.2">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spans="1:31" x14ac:dyDescent="0.2">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spans="1:31" x14ac:dyDescent="0.2">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spans="1:31" x14ac:dyDescent="0.2">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spans="1:31" ht="15" x14ac:dyDescent="0.25">
      <c r="A18" s="20"/>
      <c r="B18" s="20"/>
      <c r="C18" s="20"/>
      <c r="D18" s="20"/>
      <c r="E18" s="20"/>
      <c r="F18" s="20"/>
      <c r="G18" s="20"/>
      <c r="H18" s="20"/>
      <c r="I18" s="20"/>
      <c r="J18" s="20"/>
      <c r="K18" s="20"/>
      <c r="L18" s="20"/>
      <c r="M18" s="20"/>
      <c r="N18" s="20"/>
      <c r="O18" s="20"/>
      <c r="P18" s="30"/>
      <c r="Q18" s="31" t="str">
        <f>Pivots!B81</f>
        <v>R01</v>
      </c>
      <c r="R18" s="31" t="str">
        <f>Pivots!C81</f>
        <v>R02</v>
      </c>
      <c r="S18" s="31" t="str">
        <f>Pivots!D81</f>
        <v>R03</v>
      </c>
      <c r="T18" s="31" t="str">
        <f>Pivots!E81</f>
        <v>R04</v>
      </c>
      <c r="U18" s="31" t="str">
        <f>Pivots!F81</f>
        <v>R05</v>
      </c>
      <c r="V18" s="32" t="s">
        <v>1078</v>
      </c>
      <c r="W18" s="20"/>
      <c r="X18" s="20"/>
      <c r="Y18" s="20"/>
      <c r="Z18" s="20"/>
      <c r="AA18" s="20"/>
      <c r="AB18" s="20"/>
      <c r="AC18" s="20"/>
      <c r="AD18" s="20"/>
      <c r="AE18" s="20"/>
    </row>
    <row r="19" spans="1:31" x14ac:dyDescent="0.2">
      <c r="A19" s="20"/>
      <c r="B19" s="20"/>
      <c r="C19" s="20"/>
      <c r="D19" s="20"/>
      <c r="E19" s="20"/>
      <c r="F19" s="20"/>
      <c r="G19" s="20"/>
      <c r="H19" s="20"/>
      <c r="I19" s="20"/>
      <c r="J19" s="20"/>
      <c r="K19" s="20"/>
      <c r="L19" s="20"/>
      <c r="M19" s="20"/>
      <c r="N19" s="20"/>
      <c r="O19" s="20"/>
      <c r="P19" s="33" t="str">
        <f>IF(Pivots!A82="", "", Pivots!A82)</f>
        <v>Cincinnati</v>
      </c>
      <c r="Q19" s="34" t="str">
        <f>IF(Pivots!B82="", "", Pivots!B82)</f>
        <v/>
      </c>
      <c r="R19" s="34" t="str">
        <f>IF(Pivots!C82="", "", Pivots!C82)</f>
        <v/>
      </c>
      <c r="S19" s="34" t="str">
        <f>IF(Pivots!D82="", "", Pivots!D82)</f>
        <v/>
      </c>
      <c r="T19" s="34" t="str">
        <f>IF(Pivots!E82="", "", Pivots!E82)</f>
        <v/>
      </c>
      <c r="U19" s="34" t="str">
        <f>IF(Pivots!F82="", "", Pivots!F82)</f>
        <v/>
      </c>
      <c r="V19" s="35" t="str">
        <f>IF(Pivots!G82="", "", Pivots!G82)</f>
        <v/>
      </c>
      <c r="W19" s="20"/>
      <c r="X19" s="20"/>
      <c r="Y19" s="20"/>
      <c r="Z19" s="20"/>
      <c r="AA19" s="20"/>
      <c r="AB19" s="20"/>
      <c r="AC19" s="20"/>
      <c r="AD19" s="20"/>
      <c r="AE19" s="20"/>
    </row>
    <row r="20" spans="1:31" x14ac:dyDescent="0.2">
      <c r="A20" s="20"/>
      <c r="B20" s="20"/>
      <c r="C20" s="20"/>
      <c r="D20" s="20"/>
      <c r="E20" s="20"/>
      <c r="F20" s="20"/>
      <c r="G20" s="20"/>
      <c r="H20" s="20"/>
      <c r="I20" s="20"/>
      <c r="J20" s="20"/>
      <c r="K20" s="20"/>
      <c r="L20" s="20"/>
      <c r="M20" s="20"/>
      <c r="N20" s="20"/>
      <c r="O20" s="20"/>
      <c r="P20" s="36" t="str">
        <f>IF(Pivots!A83="", "", Pivots!A83)</f>
        <v>C0003</v>
      </c>
      <c r="Q20" s="34">
        <f>IF(Pivots!B83="", "", Pivots!B83)</f>
        <v>891</v>
      </c>
      <c r="R20" s="34">
        <f>IF(Pivots!C83="", "", Pivots!C83)</f>
        <v>1332</v>
      </c>
      <c r="S20" s="34">
        <f>IF(Pivots!D83="", "", Pivots!D83)</f>
        <v>1282</v>
      </c>
      <c r="T20" s="34">
        <f>IF(Pivots!E83="", "", Pivots!E83)</f>
        <v>739</v>
      </c>
      <c r="U20" s="34">
        <f>IF(Pivots!F83="", "", Pivots!F83)</f>
        <v>560</v>
      </c>
      <c r="V20" s="35">
        <f>IF(Pivots!G83="", "", Pivots!G83)</f>
        <v>4804</v>
      </c>
      <c r="W20" s="20"/>
      <c r="X20" s="20"/>
      <c r="Y20" s="20"/>
      <c r="Z20" s="20"/>
      <c r="AA20" s="20"/>
      <c r="AB20" s="20"/>
      <c r="AC20" s="20"/>
      <c r="AD20" s="20"/>
      <c r="AE20" s="20"/>
    </row>
    <row r="21" spans="1:31" x14ac:dyDescent="0.2">
      <c r="A21" s="20"/>
      <c r="B21" s="20"/>
      <c r="C21" s="20"/>
      <c r="D21" s="20"/>
      <c r="E21" s="20"/>
      <c r="F21" s="20"/>
      <c r="G21" s="20"/>
      <c r="H21" s="20"/>
      <c r="I21" s="20"/>
      <c r="J21" s="20"/>
      <c r="K21" s="20"/>
      <c r="L21" s="20"/>
      <c r="M21" s="20"/>
      <c r="N21" s="20"/>
      <c r="O21" s="20"/>
      <c r="P21" s="36" t="str">
        <f>IF(Pivots!A84="", "", Pivots!A84)</f>
        <v>C0004</v>
      </c>
      <c r="Q21" s="34">
        <f>IF(Pivots!B84="", "", Pivots!B84)</f>
        <v>1991</v>
      </c>
      <c r="R21" s="34">
        <f>IF(Pivots!C84="", "", Pivots!C84)</f>
        <v>1886</v>
      </c>
      <c r="S21" s="34">
        <f>IF(Pivots!D84="", "", Pivots!D84)</f>
        <v>1206</v>
      </c>
      <c r="T21" s="34">
        <f>IF(Pivots!E84="", "", Pivots!E84)</f>
        <v>884</v>
      </c>
      <c r="U21" s="34">
        <f>IF(Pivots!F84="", "", Pivots!F84)</f>
        <v>1722</v>
      </c>
      <c r="V21" s="35">
        <f>IF(Pivots!G84="", "", Pivots!G84)</f>
        <v>7689</v>
      </c>
      <c r="W21" s="20"/>
      <c r="X21" s="20"/>
      <c r="Y21" s="20"/>
      <c r="Z21" s="20"/>
      <c r="AA21" s="20"/>
      <c r="AB21" s="20"/>
      <c r="AC21" s="20"/>
      <c r="AD21" s="20"/>
      <c r="AE21" s="20"/>
    </row>
    <row r="22" spans="1:31" x14ac:dyDescent="0.2">
      <c r="A22" s="20"/>
      <c r="B22" s="20"/>
      <c r="C22" s="20"/>
      <c r="D22" s="20"/>
      <c r="E22" s="20"/>
      <c r="F22" s="20"/>
      <c r="G22" s="20"/>
      <c r="H22" s="20"/>
      <c r="I22" s="20"/>
      <c r="J22" s="20"/>
      <c r="K22" s="20"/>
      <c r="L22" s="20"/>
      <c r="M22" s="20"/>
      <c r="N22" s="20"/>
      <c r="O22" s="20"/>
      <c r="P22" s="36" t="str">
        <f>IF(Pivots!A85="", "", Pivots!A85)</f>
        <v>C0011</v>
      </c>
      <c r="Q22" s="34">
        <f>IF(Pivots!B85="", "", Pivots!B85)</f>
        <v>1163</v>
      </c>
      <c r="R22" s="34">
        <f>IF(Pivots!C85="", "", Pivots!C85)</f>
        <v>1180</v>
      </c>
      <c r="S22" s="34">
        <f>IF(Pivots!D85="", "", Pivots!D85)</f>
        <v>1616</v>
      </c>
      <c r="T22" s="34">
        <f>IF(Pivots!E85="", "", Pivots!E85)</f>
        <v>1043</v>
      </c>
      <c r="U22" s="34">
        <f>IF(Pivots!F85="", "", Pivots!F85)</f>
        <v>1747</v>
      </c>
      <c r="V22" s="35">
        <f>IF(Pivots!G85="", "", Pivots!G85)</f>
        <v>6749</v>
      </c>
      <c r="W22" s="20"/>
      <c r="X22" s="20"/>
      <c r="Y22" s="20"/>
      <c r="Z22" s="20"/>
      <c r="AA22" s="20"/>
      <c r="AB22" s="20"/>
      <c r="AC22" s="20"/>
      <c r="AD22" s="20"/>
      <c r="AE22" s="20"/>
    </row>
    <row r="23" spans="1:31" x14ac:dyDescent="0.2">
      <c r="A23" s="20"/>
      <c r="B23" s="20"/>
      <c r="C23" s="20"/>
      <c r="D23" s="20"/>
      <c r="E23" s="20"/>
      <c r="F23" s="20"/>
      <c r="G23" s="20"/>
      <c r="H23" s="20"/>
      <c r="I23" s="20"/>
      <c r="J23" s="20"/>
      <c r="K23" s="20"/>
      <c r="L23" s="20"/>
      <c r="M23" s="20"/>
      <c r="N23" s="20"/>
      <c r="O23" s="20"/>
      <c r="P23" s="36" t="str">
        <f>IF(Pivots!A86="", "", Pivots!A86)</f>
        <v>C0012</v>
      </c>
      <c r="Q23" s="34">
        <f>IF(Pivots!B86="", "", Pivots!B86)</f>
        <v>1438</v>
      </c>
      <c r="R23" s="34">
        <f>IF(Pivots!C86="", "", Pivots!C86)</f>
        <v>1616</v>
      </c>
      <c r="S23" s="34">
        <f>IF(Pivots!D86="", "", Pivots!D86)</f>
        <v>866</v>
      </c>
      <c r="T23" s="34">
        <f>IF(Pivots!E86="", "", Pivots!E86)</f>
        <v>829</v>
      </c>
      <c r="U23" s="34">
        <f>IF(Pivots!F86="", "", Pivots!F86)</f>
        <v>2070</v>
      </c>
      <c r="V23" s="35">
        <f>IF(Pivots!G86="", "", Pivots!G86)</f>
        <v>6819</v>
      </c>
      <c r="W23" s="20"/>
      <c r="X23" s="20"/>
      <c r="Y23" s="20"/>
      <c r="Z23" s="20"/>
      <c r="AA23" s="20"/>
      <c r="AB23" s="20"/>
      <c r="AC23" s="20"/>
      <c r="AD23" s="20"/>
      <c r="AE23" s="20"/>
    </row>
    <row r="24" spans="1:31" x14ac:dyDescent="0.2">
      <c r="A24" s="20"/>
      <c r="B24" s="20"/>
      <c r="C24" s="20"/>
      <c r="D24" s="20"/>
      <c r="E24" s="20"/>
      <c r="F24" s="20"/>
      <c r="G24" s="20"/>
      <c r="H24" s="20"/>
      <c r="I24" s="20"/>
      <c r="J24" s="20"/>
      <c r="K24" s="20"/>
      <c r="L24" s="20"/>
      <c r="M24" s="20"/>
      <c r="N24" s="20"/>
      <c r="O24" s="20"/>
      <c r="P24" s="33" t="str">
        <f>IF(Pivots!A87="", "", Pivots!A87)</f>
        <v>Cleveland</v>
      </c>
      <c r="Q24" s="34" t="str">
        <f>IF(Pivots!B87="", "", Pivots!B87)</f>
        <v/>
      </c>
      <c r="R24" s="34" t="str">
        <f>IF(Pivots!C87="", "", Pivots!C87)</f>
        <v/>
      </c>
      <c r="S24" s="34" t="str">
        <f>IF(Pivots!D87="", "", Pivots!D87)</f>
        <v/>
      </c>
      <c r="T24" s="34" t="str">
        <f>IF(Pivots!E87="", "", Pivots!E87)</f>
        <v/>
      </c>
      <c r="U24" s="34" t="str">
        <f>IF(Pivots!F87="", "", Pivots!F87)</f>
        <v/>
      </c>
      <c r="V24" s="35" t="str">
        <f>IF(Pivots!G87="", "", Pivots!G87)</f>
        <v/>
      </c>
      <c r="W24" s="20"/>
      <c r="X24" s="20"/>
      <c r="Y24" s="20"/>
      <c r="Z24" s="20"/>
      <c r="AA24" s="20"/>
      <c r="AB24" s="20"/>
      <c r="AC24" s="20"/>
      <c r="AD24" s="20"/>
      <c r="AE24" s="20"/>
    </row>
    <row r="25" spans="1:31" x14ac:dyDescent="0.2">
      <c r="A25" s="20"/>
      <c r="B25" s="20"/>
      <c r="C25" s="20"/>
      <c r="D25" s="20"/>
      <c r="E25" s="20"/>
      <c r="F25" s="20"/>
      <c r="G25" s="20"/>
      <c r="H25" s="20"/>
      <c r="I25" s="20"/>
      <c r="J25" s="20"/>
      <c r="K25" s="20"/>
      <c r="L25" s="20"/>
      <c r="M25" s="20"/>
      <c r="N25" s="20"/>
      <c r="O25" s="20"/>
      <c r="P25" s="36" t="str">
        <f>IF(Pivots!A88="", "", Pivots!A88)</f>
        <v>C0002</v>
      </c>
      <c r="Q25" s="34">
        <f>IF(Pivots!B88="", "", Pivots!B88)</f>
        <v>1233</v>
      </c>
      <c r="R25" s="34">
        <f>IF(Pivots!C88="", "", Pivots!C88)</f>
        <v>223</v>
      </c>
      <c r="S25" s="34">
        <f>IF(Pivots!D88="", "", Pivots!D88)</f>
        <v>1680</v>
      </c>
      <c r="T25" s="34">
        <f>IF(Pivots!E88="", "", Pivots!E88)</f>
        <v>990</v>
      </c>
      <c r="U25" s="34">
        <f>IF(Pivots!F88="", "", Pivots!F88)</f>
        <v>1508</v>
      </c>
      <c r="V25" s="35">
        <f>IF(Pivots!G88="", "", Pivots!G88)</f>
        <v>5634</v>
      </c>
      <c r="W25" s="20"/>
      <c r="X25" s="20"/>
      <c r="Y25" s="20"/>
      <c r="Z25" s="20"/>
      <c r="AA25" s="20"/>
      <c r="AB25" s="20"/>
      <c r="AC25" s="20"/>
      <c r="AD25" s="20"/>
      <c r="AE25" s="20"/>
    </row>
    <row r="26" spans="1:31" x14ac:dyDescent="0.2">
      <c r="A26" s="20"/>
      <c r="B26" s="20"/>
      <c r="C26" s="20"/>
      <c r="D26" s="20"/>
      <c r="E26" s="20"/>
      <c r="F26" s="20"/>
      <c r="G26" s="20"/>
      <c r="H26" s="20"/>
      <c r="I26" s="20"/>
      <c r="J26" s="20"/>
      <c r="K26" s="20"/>
      <c r="L26" s="20"/>
      <c r="M26" s="20"/>
      <c r="N26" s="20"/>
      <c r="O26" s="20"/>
      <c r="P26" s="36" t="str">
        <f>IF(Pivots!A89="", "", Pivots!A89)</f>
        <v>C0007</v>
      </c>
      <c r="Q26" s="34">
        <f>IF(Pivots!B89="", "", Pivots!B89)</f>
        <v>1598</v>
      </c>
      <c r="R26" s="34">
        <f>IF(Pivots!C89="", "", Pivots!C89)</f>
        <v>1907</v>
      </c>
      <c r="S26" s="34">
        <f>IF(Pivots!D89="", "", Pivots!D89)</f>
        <v>869</v>
      </c>
      <c r="T26" s="34">
        <f>IF(Pivots!E89="", "", Pivots!E89)</f>
        <v>1426</v>
      </c>
      <c r="U26" s="34">
        <f>IF(Pivots!F89="", "", Pivots!F89)</f>
        <v>1416</v>
      </c>
      <c r="V26" s="35">
        <f>IF(Pivots!G89="", "", Pivots!G89)</f>
        <v>7216</v>
      </c>
      <c r="W26" s="20"/>
      <c r="X26" s="20"/>
      <c r="Y26" s="20"/>
      <c r="Z26" s="20"/>
      <c r="AA26" s="20"/>
      <c r="AB26" s="20"/>
      <c r="AC26" s="20"/>
      <c r="AD26" s="20"/>
      <c r="AE26" s="20"/>
    </row>
    <row r="27" spans="1:31" x14ac:dyDescent="0.2">
      <c r="A27" s="20"/>
      <c r="B27" s="20"/>
      <c r="C27" s="20"/>
      <c r="D27" s="20"/>
      <c r="E27" s="20"/>
      <c r="F27" s="20"/>
      <c r="G27" s="20"/>
      <c r="H27" s="20"/>
      <c r="I27" s="20"/>
      <c r="J27" s="20"/>
      <c r="K27" s="20"/>
      <c r="L27" s="20"/>
      <c r="M27" s="20"/>
      <c r="N27" s="20"/>
      <c r="O27" s="20"/>
      <c r="P27" s="36" t="str">
        <f>IF(Pivots!A90="", "", Pivots!A90)</f>
        <v>C0008</v>
      </c>
      <c r="Q27" s="34">
        <f>IF(Pivots!B90="", "", Pivots!B90)</f>
        <v>900</v>
      </c>
      <c r="R27" s="34">
        <f>IF(Pivots!C90="", "", Pivots!C90)</f>
        <v>1016</v>
      </c>
      <c r="S27" s="34">
        <f>IF(Pivots!D90="", "", Pivots!D90)</f>
        <v>960</v>
      </c>
      <c r="T27" s="34">
        <f>IF(Pivots!E90="", "", Pivots!E90)</f>
        <v>940</v>
      </c>
      <c r="U27" s="34">
        <f>IF(Pivots!F90="", "", Pivots!F90)</f>
        <v>1193</v>
      </c>
      <c r="V27" s="35">
        <f>IF(Pivots!G90="", "", Pivots!G90)</f>
        <v>5009</v>
      </c>
      <c r="W27" s="20"/>
      <c r="X27" s="20"/>
      <c r="Y27" s="20"/>
      <c r="Z27" s="20"/>
      <c r="AA27" s="20"/>
      <c r="AB27" s="20"/>
      <c r="AC27" s="20"/>
      <c r="AD27" s="20"/>
      <c r="AE27" s="20"/>
    </row>
    <row r="28" spans="1:31" x14ac:dyDescent="0.2">
      <c r="A28" s="20"/>
      <c r="B28" s="20"/>
      <c r="C28" s="20"/>
      <c r="D28" s="20"/>
      <c r="E28" s="20"/>
      <c r="F28" s="20"/>
      <c r="G28" s="20"/>
      <c r="H28" s="20"/>
      <c r="I28" s="20"/>
      <c r="J28" s="20"/>
      <c r="K28" s="20"/>
      <c r="L28" s="20"/>
      <c r="M28" s="20"/>
      <c r="N28" s="20"/>
      <c r="O28" s="20"/>
      <c r="P28" s="36" t="str">
        <f>IF(Pivots!A91="", "", Pivots!A91)</f>
        <v>C0010</v>
      </c>
      <c r="Q28" s="34">
        <f>IF(Pivots!B91="", "", Pivots!B91)</f>
        <v>900</v>
      </c>
      <c r="R28" s="34">
        <f>IF(Pivots!C91="", "", Pivots!C91)</f>
        <v>1470</v>
      </c>
      <c r="S28" s="34">
        <f>IF(Pivots!D91="", "", Pivots!D91)</f>
        <v>1617</v>
      </c>
      <c r="T28" s="34">
        <f>IF(Pivots!E91="", "", Pivots!E91)</f>
        <v>1314</v>
      </c>
      <c r="U28" s="34">
        <f>IF(Pivots!F91="", "", Pivots!F91)</f>
        <v>941</v>
      </c>
      <c r="V28" s="35">
        <f>IF(Pivots!G91="", "", Pivots!G91)</f>
        <v>6242</v>
      </c>
      <c r="W28" s="20"/>
      <c r="X28" s="20"/>
      <c r="Y28" s="20"/>
      <c r="Z28" s="20"/>
      <c r="AA28" s="20"/>
      <c r="AB28" s="20"/>
      <c r="AC28" s="20"/>
      <c r="AD28" s="20"/>
      <c r="AE28" s="20"/>
    </row>
    <row r="29" spans="1:31" x14ac:dyDescent="0.2">
      <c r="A29" s="20"/>
      <c r="B29" s="20"/>
      <c r="C29" s="20"/>
      <c r="D29" s="20"/>
      <c r="E29" s="20"/>
      <c r="F29" s="20"/>
      <c r="G29" s="20"/>
      <c r="H29" s="20"/>
      <c r="I29" s="20"/>
      <c r="J29" s="20"/>
      <c r="K29" s="20"/>
      <c r="L29" s="20"/>
      <c r="M29" s="20"/>
      <c r="N29" s="20"/>
      <c r="O29" s="20"/>
      <c r="P29" s="36" t="str">
        <f>IF(Pivots!A92="", "", Pivots!A92)</f>
        <v>C0013</v>
      </c>
      <c r="Q29" s="34">
        <f>IF(Pivots!B92="", "", Pivots!B92)</f>
        <v>1255</v>
      </c>
      <c r="R29" s="34">
        <f>IF(Pivots!C92="", "", Pivots!C92)</f>
        <v>516</v>
      </c>
      <c r="S29" s="34">
        <f>IF(Pivots!D92="", "", Pivots!D92)</f>
        <v>1874</v>
      </c>
      <c r="T29" s="34">
        <f>IF(Pivots!E92="", "", Pivots!E92)</f>
        <v>1863</v>
      </c>
      <c r="U29" s="34">
        <f>IF(Pivots!F92="", "", Pivots!F92)</f>
        <v>1722</v>
      </c>
      <c r="V29" s="35">
        <f>IF(Pivots!G92="", "", Pivots!G92)</f>
        <v>7230</v>
      </c>
      <c r="W29" s="20"/>
      <c r="X29" s="20"/>
      <c r="Y29" s="20"/>
      <c r="Z29" s="20"/>
      <c r="AA29" s="20"/>
      <c r="AB29" s="20"/>
      <c r="AC29" s="20"/>
      <c r="AD29" s="20"/>
      <c r="AE29" s="20"/>
    </row>
    <row r="30" spans="1:31" x14ac:dyDescent="0.2">
      <c r="A30" s="20"/>
      <c r="B30" s="20"/>
      <c r="C30" s="20"/>
      <c r="D30" s="20"/>
      <c r="E30" s="20"/>
      <c r="F30" s="20"/>
      <c r="G30" s="20"/>
      <c r="H30" s="20"/>
      <c r="I30" s="20"/>
      <c r="J30" s="20"/>
      <c r="K30" s="20"/>
      <c r="L30" s="20"/>
      <c r="M30" s="20"/>
      <c r="N30" s="20"/>
      <c r="O30" s="20"/>
      <c r="P30" s="36" t="str">
        <f>IF(Pivots!A93="", "", Pivots!A93)</f>
        <v>C0015</v>
      </c>
      <c r="Q30" s="34">
        <f>IF(Pivots!B93="", "", Pivots!B93)</f>
        <v>1138</v>
      </c>
      <c r="R30" s="34">
        <f>IF(Pivots!C93="", "", Pivots!C93)</f>
        <v>1898</v>
      </c>
      <c r="S30" s="34">
        <f>IF(Pivots!D93="", "", Pivots!D93)</f>
        <v>1482</v>
      </c>
      <c r="T30" s="34">
        <f>IF(Pivots!E93="", "", Pivots!E93)</f>
        <v>846</v>
      </c>
      <c r="U30" s="34">
        <f>IF(Pivots!F93="", "", Pivots!F93)</f>
        <v>1154</v>
      </c>
      <c r="V30" s="35">
        <f>IF(Pivots!G93="", "", Pivots!G93)</f>
        <v>6518</v>
      </c>
      <c r="W30" s="20"/>
      <c r="X30" s="20"/>
      <c r="Y30" s="20"/>
      <c r="Z30" s="20"/>
      <c r="AA30" s="20"/>
      <c r="AB30" s="20"/>
      <c r="AC30" s="20"/>
      <c r="AD30" s="20"/>
      <c r="AE30" s="20"/>
    </row>
    <row r="31" spans="1:31" x14ac:dyDescent="0.2">
      <c r="A31" s="20"/>
      <c r="B31" s="20"/>
      <c r="C31" s="20"/>
      <c r="D31" s="20"/>
      <c r="E31" s="20"/>
      <c r="F31" s="20"/>
      <c r="G31" s="20"/>
      <c r="H31" s="20"/>
      <c r="I31" s="20"/>
      <c r="J31" s="20"/>
      <c r="K31" s="20"/>
      <c r="L31" s="20"/>
      <c r="M31" s="20"/>
      <c r="N31" s="20"/>
      <c r="O31" s="20"/>
      <c r="P31" s="33" t="str">
        <f>IF(Pivots!A94="", "", Pivots!A94)</f>
        <v>Columbus</v>
      </c>
      <c r="Q31" s="34" t="str">
        <f>IF(Pivots!B94="", "", Pivots!B94)</f>
        <v/>
      </c>
      <c r="R31" s="34" t="str">
        <f>IF(Pivots!C94="", "", Pivots!C94)</f>
        <v/>
      </c>
      <c r="S31" s="34" t="str">
        <f>IF(Pivots!D94="", "", Pivots!D94)</f>
        <v/>
      </c>
      <c r="T31" s="34" t="str">
        <f>IF(Pivots!E94="", "", Pivots!E94)</f>
        <v/>
      </c>
      <c r="U31" s="34" t="str">
        <f>IF(Pivots!F94="", "", Pivots!F94)</f>
        <v/>
      </c>
      <c r="V31" s="35" t="str">
        <f>IF(Pivots!G94="", "", Pivots!G94)</f>
        <v/>
      </c>
      <c r="W31" s="20"/>
      <c r="X31" s="20"/>
      <c r="Y31" s="20"/>
      <c r="Z31" s="20"/>
      <c r="AA31" s="20"/>
      <c r="AB31" s="20"/>
      <c r="AC31" s="20"/>
      <c r="AD31" s="20"/>
      <c r="AE31" s="20"/>
    </row>
    <row r="32" spans="1:31" x14ac:dyDescent="0.2">
      <c r="A32" s="20"/>
      <c r="B32" s="20"/>
      <c r="C32" s="20"/>
      <c r="D32" s="20"/>
      <c r="E32" s="20"/>
      <c r="F32" s="20"/>
      <c r="G32" s="20"/>
      <c r="H32" s="20"/>
      <c r="I32" s="20"/>
      <c r="J32" s="20"/>
      <c r="K32" s="20"/>
      <c r="L32" s="20"/>
      <c r="M32" s="20"/>
      <c r="N32" s="20"/>
      <c r="O32" s="20"/>
      <c r="P32" s="36" t="str">
        <f>IF(Pivots!A95="", "", Pivots!A95)</f>
        <v>C0001</v>
      </c>
      <c r="Q32" s="34">
        <f>IF(Pivots!B95="", "", Pivots!B95)</f>
        <v>1655</v>
      </c>
      <c r="R32" s="34">
        <f>IF(Pivots!C95="", "", Pivots!C95)</f>
        <v>805</v>
      </c>
      <c r="S32" s="34">
        <f>IF(Pivots!D95="", "", Pivots!D95)</f>
        <v>2263</v>
      </c>
      <c r="T32" s="34">
        <f>IF(Pivots!E95="", "", Pivots!E95)</f>
        <v>987</v>
      </c>
      <c r="U32" s="34">
        <f>IF(Pivots!F95="", "", Pivots!F95)</f>
        <v>1075</v>
      </c>
      <c r="V32" s="35">
        <f>IF(Pivots!G95="", "", Pivots!G95)</f>
        <v>6785</v>
      </c>
      <c r="W32" s="20"/>
      <c r="X32" s="20"/>
      <c r="Y32" s="20"/>
      <c r="Z32" s="20"/>
      <c r="AA32" s="20"/>
      <c r="AB32" s="20"/>
      <c r="AC32" s="20"/>
      <c r="AD32" s="20"/>
      <c r="AE32" s="20"/>
    </row>
    <row r="33" spans="1:31" x14ac:dyDescent="0.2">
      <c r="A33" s="20"/>
      <c r="B33" s="20"/>
      <c r="C33" s="20"/>
      <c r="D33" s="20"/>
      <c r="E33" s="20"/>
      <c r="F33" s="20"/>
      <c r="G33" s="20"/>
      <c r="H33" s="20"/>
      <c r="I33" s="20"/>
      <c r="J33" s="20"/>
      <c r="K33" s="20"/>
      <c r="L33" s="20"/>
      <c r="M33" s="20"/>
      <c r="N33" s="20"/>
      <c r="O33" s="20"/>
      <c r="P33" s="36" t="str">
        <f>IF(Pivots!A96="", "", Pivots!A96)</f>
        <v>C0005</v>
      </c>
      <c r="Q33" s="34">
        <f>IF(Pivots!B96="", "", Pivots!B96)</f>
        <v>1104</v>
      </c>
      <c r="R33" s="34">
        <f>IF(Pivots!C96="", "", Pivots!C96)</f>
        <v>2280</v>
      </c>
      <c r="S33" s="34">
        <f>IF(Pivots!D96="", "", Pivots!D96)</f>
        <v>1445</v>
      </c>
      <c r="T33" s="34">
        <f>IF(Pivots!E96="", "", Pivots!E96)</f>
        <v>1722</v>
      </c>
      <c r="U33" s="34">
        <f>IF(Pivots!F96="", "", Pivots!F96)</f>
        <v>1196</v>
      </c>
      <c r="V33" s="35">
        <f>IF(Pivots!G96="", "", Pivots!G96)</f>
        <v>7747</v>
      </c>
      <c r="W33" s="20"/>
      <c r="X33" s="20"/>
      <c r="Y33" s="20"/>
      <c r="Z33" s="20"/>
      <c r="AA33" s="20"/>
      <c r="AB33" s="20"/>
      <c r="AC33" s="20"/>
      <c r="AD33" s="20"/>
      <c r="AE33" s="20"/>
    </row>
    <row r="34" spans="1:31" x14ac:dyDescent="0.2">
      <c r="A34" s="20"/>
      <c r="B34" s="20"/>
      <c r="C34" s="20"/>
      <c r="D34" s="20"/>
      <c r="E34" s="20"/>
      <c r="F34" s="20"/>
      <c r="G34" s="20"/>
      <c r="H34" s="20"/>
      <c r="I34" s="20"/>
      <c r="J34" s="20"/>
      <c r="K34" s="20"/>
      <c r="L34" s="20"/>
      <c r="M34" s="20"/>
      <c r="N34" s="20"/>
      <c r="O34" s="20"/>
      <c r="P34" s="36" t="str">
        <f>IF(Pivots!A97="", "", Pivots!A97)</f>
        <v>C0006</v>
      </c>
      <c r="Q34" s="34">
        <f>IF(Pivots!B97="", "", Pivots!B97)</f>
        <v>372</v>
      </c>
      <c r="R34" s="34">
        <f>IF(Pivots!C97="", "", Pivots!C97)</f>
        <v>1818</v>
      </c>
      <c r="S34" s="34">
        <f>IF(Pivots!D97="", "", Pivots!D97)</f>
        <v>1346</v>
      </c>
      <c r="T34" s="34">
        <f>IF(Pivots!E97="", "", Pivots!E97)</f>
        <v>1156</v>
      </c>
      <c r="U34" s="34">
        <f>IF(Pivots!F97="", "", Pivots!F97)</f>
        <v>1484</v>
      </c>
      <c r="V34" s="35">
        <f>IF(Pivots!G97="", "", Pivots!G97)</f>
        <v>6176</v>
      </c>
      <c r="W34" s="20"/>
      <c r="X34" s="20"/>
      <c r="Y34" s="20"/>
      <c r="Z34" s="20"/>
      <c r="AA34" s="20"/>
      <c r="AB34" s="20"/>
      <c r="AC34" s="20"/>
      <c r="AD34" s="20"/>
      <c r="AE34" s="20"/>
    </row>
    <row r="35" spans="1:31" x14ac:dyDescent="0.2">
      <c r="A35" s="20"/>
      <c r="B35" s="20"/>
      <c r="C35" s="20"/>
      <c r="D35" s="20"/>
      <c r="E35" s="20"/>
      <c r="F35" s="20"/>
      <c r="G35" s="20"/>
      <c r="H35" s="20"/>
      <c r="I35" s="20"/>
      <c r="J35" s="20"/>
      <c r="K35" s="20"/>
      <c r="L35" s="20"/>
      <c r="M35" s="20"/>
      <c r="N35" s="20"/>
      <c r="O35" s="20"/>
      <c r="P35" s="36" t="str">
        <f>IF(Pivots!A98="", "", Pivots!A98)</f>
        <v>C0009</v>
      </c>
      <c r="Q35" s="34">
        <f>IF(Pivots!B98="", "", Pivots!B98)</f>
        <v>1415</v>
      </c>
      <c r="R35" s="34">
        <f>IF(Pivots!C98="", "", Pivots!C98)</f>
        <v>1271</v>
      </c>
      <c r="S35" s="34">
        <f>IF(Pivots!D98="", "", Pivots!D98)</f>
        <v>1214</v>
      </c>
      <c r="T35" s="34">
        <f>IF(Pivots!E98="", "", Pivots!E98)</f>
        <v>1135</v>
      </c>
      <c r="U35" s="34">
        <f>IF(Pivots!F98="", "", Pivots!F98)</f>
        <v>1566</v>
      </c>
      <c r="V35" s="35">
        <f>IF(Pivots!G98="", "", Pivots!G98)</f>
        <v>6601</v>
      </c>
      <c r="W35" s="20"/>
      <c r="X35" s="20"/>
      <c r="Y35" s="20"/>
      <c r="Z35" s="20"/>
      <c r="AA35" s="20"/>
      <c r="AB35" s="20"/>
      <c r="AC35" s="20"/>
      <c r="AD35" s="20"/>
      <c r="AE35" s="20"/>
    </row>
    <row r="36" spans="1:31" x14ac:dyDescent="0.2">
      <c r="A36" s="20"/>
      <c r="B36" s="20"/>
      <c r="C36" s="20"/>
      <c r="D36" s="20"/>
      <c r="E36" s="20"/>
      <c r="F36" s="20"/>
      <c r="G36" s="20"/>
      <c r="H36" s="20"/>
      <c r="I36" s="20"/>
      <c r="J36" s="20"/>
      <c r="K36" s="20"/>
      <c r="L36" s="20"/>
      <c r="M36" s="20"/>
      <c r="N36" s="20"/>
      <c r="O36" s="20"/>
      <c r="P36" s="37" t="str">
        <f>IF(Pivots!A99="", "", Pivots!A99)</f>
        <v>C0014</v>
      </c>
      <c r="Q36" s="38">
        <f>IF(Pivots!B99="", "", Pivots!B99)</f>
        <v>1362</v>
      </c>
      <c r="R36" s="38">
        <f>IF(Pivots!C99="", "", Pivots!C99)</f>
        <v>1363</v>
      </c>
      <c r="S36" s="38">
        <f>IF(Pivots!D99="", "", Pivots!D99)</f>
        <v>1152</v>
      </c>
      <c r="T36" s="38">
        <f>IF(Pivots!E99="", "", Pivots!E99)</f>
        <v>777</v>
      </c>
      <c r="U36" s="38">
        <f>IF(Pivots!F99="", "", Pivots!F99)</f>
        <v>750</v>
      </c>
      <c r="V36" s="39">
        <f>IF(Pivots!G99="", "", Pivots!G99)</f>
        <v>5404</v>
      </c>
      <c r="W36" s="20"/>
      <c r="X36" s="20"/>
      <c r="Y36" s="20"/>
      <c r="Z36" s="20"/>
      <c r="AA36" s="20"/>
      <c r="AB36" s="20"/>
      <c r="AC36" s="20"/>
      <c r="AD36" s="20"/>
      <c r="AE36" s="20"/>
    </row>
    <row r="37" spans="1:31" x14ac:dyDescent="0.2">
      <c r="A37" s="20"/>
      <c r="B37" s="20"/>
      <c r="C37" s="20"/>
      <c r="D37" s="20"/>
      <c r="E37" s="20"/>
      <c r="F37" s="20"/>
      <c r="G37" s="20"/>
      <c r="H37" s="20"/>
      <c r="I37" s="20"/>
      <c r="J37" s="20"/>
      <c r="K37" s="20"/>
      <c r="L37" s="20"/>
      <c r="M37" s="20"/>
      <c r="N37" s="20"/>
      <c r="O37" s="20"/>
      <c r="P37" s="20"/>
      <c r="Q37" s="20"/>
      <c r="R37" s="20"/>
      <c r="S37" s="20"/>
      <c r="T37" s="20"/>
      <c r="U37" s="20"/>
      <c r="V37" s="20"/>
      <c r="W37" s="20"/>
      <c r="X37" s="20"/>
    </row>
    <row r="38" spans="1:31" x14ac:dyDescent="0.2">
      <c r="A38" s="20"/>
      <c r="B38" s="20"/>
      <c r="C38" s="20"/>
      <c r="D38" s="20"/>
      <c r="E38" s="20"/>
      <c r="F38" s="20"/>
      <c r="G38" s="20"/>
      <c r="H38" s="20"/>
      <c r="I38" s="20"/>
      <c r="J38" s="20"/>
      <c r="K38" s="20"/>
      <c r="L38" s="20"/>
      <c r="M38" s="20"/>
      <c r="N38" s="20"/>
      <c r="O38" s="20"/>
      <c r="P38" s="20"/>
      <c r="Q38" s="20"/>
      <c r="R38" s="20"/>
      <c r="S38" s="20"/>
      <c r="T38" s="20"/>
      <c r="U38" s="20"/>
      <c r="V38" s="20"/>
      <c r="W38" s="20"/>
      <c r="X38" s="20"/>
    </row>
    <row r="39" spans="1:31" x14ac:dyDescent="0.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spans="1:31" x14ac:dyDescent="0.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spans="1:31" x14ac:dyDescent="0.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sheetData>
  <conditionalFormatting sqref="Q19:U36">
    <cfRule type="dataBar" priority="2">
      <dataBar>
        <cfvo type="num" val="0"/>
        <cfvo type="formula" val="MAX($Q$19:$U$36)*2"/>
        <color theme="1" tint="0.249977111117893"/>
      </dataBar>
      <extLst>
        <ext xmlns:x14="http://schemas.microsoft.com/office/spreadsheetml/2009/9/main" uri="{B025F937-C7B1-47D3-B67F-A62EFF666E3E}">
          <x14:id>{FBC9618C-778C-4792-9954-2848EE509D44}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BC9618C-778C-4792-9954-2848EE509D44}">
            <x14:dataBar minLength="0" maxLength="100" gradient="0">
              <x14:cfvo type="num">
                <xm:f>0</xm:f>
              </x14:cfvo>
              <x14:cfvo type="formula">
                <xm:f>MAX($Q$19:$U$36)*2</xm:f>
              </x14:cfvo>
              <x14:negativeFillColor rgb="FFFF0000"/>
              <x14:axisColor rgb="FF000000"/>
            </x14:dataBar>
          </x14:cfRule>
          <xm:sqref>Q19:U36</xm:sqref>
        </x14:conditionalFormatting>
        <x14:conditionalFormatting xmlns:xm="http://schemas.microsoft.com/office/excel/2006/main">
          <x14:cfRule type="expression" priority="3" id="{F1C6F06F-768D-4DD9-BD57-F9351E2F1B4D}">
            <xm:f>Q$18=Pivots!$A$51</xm:f>
            <x14:dxf>
              <fill>
                <patternFill>
                  <bgColor theme="8" tint="0.59996337778862885"/>
                </patternFill>
              </fill>
              <border>
                <left style="thin">
                  <color theme="1" tint="0.34998626667073579"/>
                </left>
                <right style="thin">
                  <color theme="1" tint="0.34998626667073579"/>
                </right>
                <vertical/>
                <horizontal/>
              </border>
            </x14:dxf>
          </x14:cfRule>
          <xm:sqref>Q18:U36</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Assets</vt:lpstr>
      <vt:lpstr>Customer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Ameer Hamza</cp:lastModifiedBy>
  <dcterms:created xsi:type="dcterms:W3CDTF">2021-03-14T20:21:32Z</dcterms:created>
  <dcterms:modified xsi:type="dcterms:W3CDTF">2025-04-02T09:00:18Z</dcterms:modified>
</cp:coreProperties>
</file>